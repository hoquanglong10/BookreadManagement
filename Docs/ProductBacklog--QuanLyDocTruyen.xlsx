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4D424EFC-9036-4CEB-89C4-E8E7A15B7707}" xr6:coauthVersionLast="47" xr6:coauthVersionMax="47" xr10:uidLastSave="{00000000-0000-0000-0000-000000000000}"/>
  <bookViews>
    <workbookView xWindow="2240" yWindow="2240" windowWidth="19200" windowHeight="11170" activeTab="3" xr2:uid="{00000000-000D-0000-FFFF-FFFF00000000}"/>
  </bookViews>
  <sheets>
    <sheet name="Project Information" sheetId="1" r:id="rId1"/>
    <sheet name="Team" sheetId="2" r:id="rId2"/>
    <sheet name="Product backlog" sheetId="3" r:id="rId3"/>
    <sheet name="Sprint backlog"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1" i="4" l="1"/>
  <c r="C61" i="4"/>
  <c r="I53" i="4"/>
  <c r="C53" i="4"/>
  <c r="I43" i="4"/>
  <c r="C43" i="4"/>
  <c r="C63" i="4" s="1"/>
  <c r="I32" i="4"/>
  <c r="C32" i="4"/>
  <c r="I20" i="4"/>
  <c r="C20" i="4"/>
  <c r="I7" i="4"/>
  <c r="I63" i="4" s="1"/>
  <c r="C7" i="4"/>
  <c r="C63" i="3"/>
  <c r="C62" i="3"/>
  <c r="C61" i="3"/>
  <c r="C60" i="3"/>
  <c r="C59" i="3"/>
  <c r="C58" i="3"/>
  <c r="C55" i="3"/>
</calcChain>
</file>

<file path=xl/sharedStrings.xml><?xml version="1.0" encoding="utf-8"?>
<sst xmlns="http://schemas.openxmlformats.org/spreadsheetml/2006/main" count="596" uniqueCount="325">
  <si>
    <t>HỆ THỐNG QUẢN LÝ ĐỌC TRUYỆN - PROJECT INFORMATION</t>
  </si>
  <si>
    <t>1. Tên đề tài</t>
  </si>
  <si>
    <t>2. Mục tiêu dự án</t>
  </si>
  <si>
    <t>Xây dựng hệ thống cho phép người dùng tìm kiếm, đọc truyện trực tuyến và quản lý quá trình đọc trên Web và Mobile. Hệ thống hỗ trợ truyện miễn phí, gói đọc theo tháng và mua quyền đọc từng bộ truyện; cung cấp công cụ cho Admin quản lý nội dung, thành viên, thanh toán và thống kê.</t>
  </si>
  <si>
    <t>3. Đối tượng sử dụng</t>
  </si>
  <si>
    <t>- Khách truy cập: xem thông tin truyện, tìm kiếm và đọc các chương miễn phí.</t>
  </si>
  <si>
    <t>- Thành viên: đăng ký gói, mua truyện, lưu tiến độ đọc, theo dõi truyện, nhận thông báo và tham gia thảo luận.</t>
  </si>
  <si>
    <t>- Quản trị viên (Admin): quản lý truyện, chương, chính sách truy cập, gói đọc, giao dịch, thành viên, thảo luận và thống kê.</t>
  </si>
  <si>
    <t>4. Yêu cầu chức năng</t>
  </si>
  <si>
    <t>Mã</t>
  </si>
  <si>
    <t>Nhóm chức năng</t>
  </si>
  <si>
    <t>Nội dung yêu cầu</t>
  </si>
  <si>
    <t>FR01</t>
  </si>
  <si>
    <t>Quản lý truyện</t>
  </si>
  <si>
    <t>Admin tạo và cập nhật tên truyện, ảnh bìa, giới thiệu, tác giả, thể loại và tình trạng phát hành. Một truyện có thể thuộc nhiều thể loại.</t>
  </si>
  <si>
    <t>FR02</t>
  </si>
  <si>
    <t>Quản lý chương</t>
  </si>
  <si>
    <t>Admin tạo hoặc tải lên chương, xác định thứ tự, tên, nội dung và thời điểm phát hành; chỉnh sửa khi cần.</t>
  </si>
  <si>
    <t>FR03</t>
  </si>
  <si>
    <t>Chính sách truy cập</t>
  </si>
  <si>
    <t>Admin thiết lập truyện miễn phí, trả phí hoặc kết hợp; chọn chương đọc miễn phí và mức phí mua truyện.</t>
  </si>
  <si>
    <t>FR04</t>
  </si>
  <si>
    <t>Tra cứu truyện</t>
  </si>
  <si>
    <t>Tìm kiếm theo tên, tác giả, thể loại; duyệt truyện mới cập nhật, mới phát hành, được đọc nhiều.</t>
  </si>
  <si>
    <t>FR05</t>
  </si>
  <si>
    <t>Xem và đọc truyện</t>
  </si>
  <si>
    <t>Xem trang thông tin truyện, danh sách chương kèm trạng thái truy cập và đọc các chương được phép.</t>
  </si>
  <si>
    <t>FR06</t>
  </si>
  <si>
    <t>Quản lý gói đọc</t>
  </si>
  <si>
    <t>Admin tạo, cập nhật mức phí, thời hạn, phạm vi nội dung hoặc ngừng cung cấp gói đọc.</t>
  </si>
  <si>
    <t>FR07</t>
  </si>
  <si>
    <t>Đăng ký và gia hạn gói</t>
  </si>
  <si>
    <t>Thành viên thanh toán để đăng ký hoặc gia hạn gói đọc theo tháng.</t>
  </si>
  <si>
    <t>FR08</t>
  </si>
  <si>
    <t>Mua truyện</t>
  </si>
  <si>
    <t>Thành viên thanh toán để nhận quyền đọc riêng từng bộ truyện trả phí.</t>
  </si>
  <si>
    <t>FR09</t>
  </si>
  <si>
    <t>Kiểm tra quyền đọc</t>
  </si>
  <si>
    <t>Kiểm tra truyện/chương miễn phí, gói còn hiệu lực và quyền đã mua trước khi cho đọc chương trả phí.</t>
  </si>
  <si>
    <t>FR10</t>
  </si>
  <si>
    <t>Quản lý giao dịch</t>
  </si>
  <si>
    <t>Ghi nhận mọi giao dịch; thành viên xem lịch sử thanh toán, truyện đã mua, gói đang dùng; xử lý giao dịch lỗi.</t>
  </si>
  <si>
    <t>FR11</t>
  </si>
  <si>
    <t>Tiến độ đọc</t>
  </si>
  <si>
    <t>Lưu chương/vị trí đọc gần nhất, tiếp tục đọc và xem danh sách truyện đang đọc.</t>
  </si>
  <si>
    <t>FR12</t>
  </si>
  <si>
    <t>Theo dõi và thông báo</t>
  </si>
  <si>
    <t>Thành viên theo dõi truyện, nhận thông báo khi có chương mới.</t>
  </si>
  <si>
    <t>FR13</t>
  </si>
  <si>
    <t>Thảo luận theo chương</t>
  </si>
  <si>
    <t>Thành viên đăng và tham gia thảo luận gắn với từng chương.</t>
  </si>
  <si>
    <t>FR14</t>
  </si>
  <si>
    <t>Kiểm duyệt thảo luận</t>
  </si>
  <si>
    <t>Admin xử lý nội dung không phù hợp, spam, nội dung bị báo cáo.</t>
  </si>
  <si>
    <t>FR15</t>
  </si>
  <si>
    <t>Quản lý thành viên</t>
  </si>
  <si>
    <t>Admin xem danh sách, tình trạng tài khoản; hạn chế hoặc tạm ngừng tài khoản vi phạm.</t>
  </si>
  <si>
    <t>FR16</t>
  </si>
  <si>
    <t>Thống kê hoạt động</t>
  </si>
  <si>
    <t>Thống kê thành viên, gói đang dùng, đăng ký mới, gia hạn, lượt mua truyện, trạng thái giao dịch.</t>
  </si>
  <si>
    <t>FR17</t>
  </si>
  <si>
    <t>Thống kê doanh thu</t>
  </si>
  <si>
    <t>Doanh thu theo gói, theo truyện và theo ngày/tháng/khoảng thời gian.</t>
  </si>
  <si>
    <t>FR18</t>
  </si>
  <si>
    <t>Thống kê nội dung</t>
  </si>
  <si>
    <t>Ghi nhận lượt đọc truyện/chương; tổng hợp truyện đọc nhiều, theo dõi nhiều, mua nhiều, thể loại quan tâm.</t>
  </si>
  <si>
    <t>5. Quy tắc nghiệp vụ</t>
  </si>
  <si>
    <t>- Truyện miễn phí cho đọc toàn bộ chương mà không cần mua truyện hoặc đăng ký gói.</t>
  </si>
  <si>
    <t>- Chương trả phí chỉ đọc được khi có gói còn hiệu lực bao gồm truyện đó, hoặc đã mua riêng truyện.</t>
  </si>
  <si>
    <t>- Gói hết hạn không làm mất quyền đọc của truyện đã mua riêng.</t>
  </si>
  <si>
    <t>- Không yêu cầu thanh toán lại cho nội dung thành viên đang có quyền đọc hợp lệ.</t>
  </si>
  <si>
    <t>- Chỉ kích hoạt quyền đọc khi thanh toán thành công; giao dịch thất bại không cấp quyền.</t>
  </si>
  <si>
    <t>- Giá được chốt tại thời điểm giao dịch.</t>
  </si>
  <si>
    <t>- Giao dịch thành công nhưng chưa cập nhật quyền đọc phải có cơ chế kiểm tra và xử lý.</t>
  </si>
  <si>
    <t>- Thảo luận phải gắn đúng với chương tương ứng.</t>
  </si>
  <si>
    <t>6. Yêu cầu kỹ thuật</t>
  </si>
  <si>
    <t>- Kiến trúc client–server; backend cung cấp RESTful API dùng chung cho Web và Mobile.</t>
  </si>
  <si>
    <t>- Dữ liệu và nghiệp vụ xử lý tập trung tại backend.</t>
  </si>
  <si>
    <t>- Web Application phục vụ tất cả nhóm người dùng; Mobile Application phục vụ người đọc / thành viên.</t>
  </si>
  <si>
    <t>7. Công nghệ sử dụng</t>
  </si>
  <si>
    <t>Backend</t>
  </si>
  <si>
    <t>ASP.NET Core Web API (.NET 10), Entity Framework Core, JWT</t>
  </si>
  <si>
    <t>Web frontend</t>
  </si>
  <si>
    <t>React + TypeScript + Vite + Tailwind CSS</t>
  </si>
  <si>
    <t>Mobile app</t>
  </si>
  <si>
    <t>Android (Kotlin, Jetpack Compose, Retrofit, Room)</t>
  </si>
  <si>
    <t>CSDL</t>
  </si>
  <si>
    <t>SQL Server 2022</t>
  </si>
  <si>
    <t>Quản lý mã nguồn</t>
  </si>
  <si>
    <t>No.</t>
  </si>
  <si>
    <t>Name</t>
  </si>
  <si>
    <t>Account</t>
  </si>
  <si>
    <t>Roles</t>
  </si>
  <si>
    <t>DateStart</t>
  </si>
  <si>
    <t>Date End</t>
  </si>
  <si>
    <t>Hồ Quang Long (22DH111985)</t>
  </si>
  <si>
    <t>hoquanglong10</t>
  </si>
  <si>
    <t>Product Owner, Scrum Master, Developer (Backend, Web, Mobile)</t>
  </si>
  <si>
    <t>HỆ THỐNG QUẢN LÝ ĐỌC TRUYỆN - PRODUCT BACKLOG</t>
  </si>
  <si>
    <t>Story ID</t>
  </si>
  <si>
    <t>Story Name</t>
  </si>
  <si>
    <t>Points</t>
  </si>
  <si>
    <t>Priority</t>
  </si>
  <si>
    <t>Yêu cầu (FR)</t>
  </si>
  <si>
    <t>Nền tảng</t>
  </si>
  <si>
    <t>Sprint</t>
  </si>
  <si>
    <t>Tiêu chí chấp nhận</t>
  </si>
  <si>
    <t>1. Tài khoản và phân quyền</t>
  </si>
  <si>
    <t>PB01</t>
  </si>
  <si>
    <t>Đăng ký tài khoản thành viên</t>
  </si>
  <si>
    <t>Must</t>
  </si>
  <si>
    <t>—</t>
  </si>
  <si>
    <t>API, Web, Mobile</t>
  </si>
  <si>
    <t>Sprint 1</t>
  </si>
  <si>
    <t>Kiểm tra thông tin bắt buộc, email/tên đăng nhập trùng, mã hóa mật khẩu</t>
  </si>
  <si>
    <t>PB02</t>
  </si>
  <si>
    <t>Đăng nhập và đăng xuất (JWT)</t>
  </si>
  <si>
    <t>Trả token, lưu token trên Web/Mobile, đăng xuất xóa phiên</t>
  </si>
  <si>
    <t>PB03</t>
  </si>
  <si>
    <t>Phân quyền Khách / Thành viên / Admin</t>
  </si>
  <si>
    <t>API, Web</t>
  </si>
  <si>
    <t>API chặn chức năng Admin; Web ẩn/hiện menu theo vai trò</t>
  </si>
  <si>
    <t>PB04</t>
  </si>
  <si>
    <t>Xem, cập nhật hồ sơ và đổi mật khẩu</t>
  </si>
  <si>
    <t>Should</t>
  </si>
  <si>
    <t>Sprint 2</t>
  </si>
  <si>
    <t>Sửa tên hiển thị, ảnh đại diện; đổi mật khẩu cần mật khẩu cũ</t>
  </si>
  <si>
    <t>2. Quản lý truyện và chương (Admin)</t>
  </si>
  <si>
    <t>PB05</t>
  </si>
  <si>
    <t>Quản lý thể loại</t>
  </si>
  <si>
    <t>Thêm, sửa, xóa thể loại; không xóa thể loại đang được dùng</t>
  </si>
  <si>
    <t>PB06</t>
  </si>
  <si>
    <t>Tạo và cập nhật truyện (ảnh bìa, giới thiệu, tác giả, nhiều thể loại)</t>
  </si>
  <si>
    <t>Một truyện gán được nhiều thể loại; upload ảnh bìa</t>
  </si>
  <si>
    <t>PB07</t>
  </si>
  <si>
    <t>Cập nhật tình trạng phát hành (đang ra / hoàn thành)</t>
  </si>
  <si>
    <t>Người đọc thấy nhãn tình trạng ở trang truyện</t>
  </si>
  <si>
    <t>PB08</t>
  </si>
  <si>
    <t>Tạo hoặc tải lên chương (số thứ tự, tên, nội dung)</t>
  </si>
  <si>
    <t>Số thứ tự chương không trùng trong một truyện</t>
  </si>
  <si>
    <t>PB09</t>
  </si>
  <si>
    <t>Chỉnh sửa và xóa chương</t>
  </si>
  <si>
    <t>Sửa đúng chương của đúng truyện</t>
  </si>
  <si>
    <t>PB10</t>
  </si>
  <si>
    <t>Hẹn giờ phát hành chương</t>
  </si>
  <si>
    <t>Chương chưa tới giờ không hiện với người đọc</t>
  </si>
  <si>
    <t>3. Tra cứu và đọc truyện</t>
  </si>
  <si>
    <t>PB11</t>
  </si>
  <si>
    <t>Tìm kiếm truyện theo tên, tác giả, thể loại</t>
  </si>
  <si>
    <t>Có phân trang; lọc theo thể loại</t>
  </si>
  <si>
    <t>PB12</t>
  </si>
  <si>
    <t>Duyệt danh sách mới cập nhật, mới phát hành, đọc nhiều</t>
  </si>
  <si>
    <t>Trang chủ hiển thị 3 danh sách</t>
  </si>
  <si>
    <t>PB13</t>
  </si>
  <si>
    <t>Xem chi tiết truyện và danh sách chương kèm trạng thái truy cập</t>
  </si>
  <si>
    <t>Mỗi chương có nhãn Miễn phí / Trả phí / Đã mở khóa</t>
  </si>
  <si>
    <t>PB14</t>
  </si>
  <si>
    <t>Đọc chương (chuyển chương trước/sau, cỡ chữ, chế độ tối)</t>
  </si>
  <si>
    <t>Đọc được chương miễn phí khi chưa đăng nhập</t>
  </si>
  <si>
    <t>PB15</t>
  </si>
  <si>
    <t>Ghi nhận lượt đọc theo truyện và chương</t>
  </si>
  <si>
    <t>API</t>
  </si>
  <si>
    <t>Mỗi lần mở chương tăng lượt đọc; có mốc thời gian để thống kê</t>
  </si>
  <si>
    <t>4. Chính sách truy cập và gói đọc (Admin)</t>
  </si>
  <si>
    <t>PB16</t>
  </si>
  <si>
    <t>Thiết lập truyện miễn phí / trả phí / kết hợp và chọn chương miễn phí</t>
  </si>
  <si>
    <t>Truyện kết hợp: chọn N chương đầu miễn phí hoặc đánh dấu từng chương</t>
  </si>
  <si>
    <t>PB17</t>
  </si>
  <si>
    <t>Thiết lập và điều chỉnh giá mua từng truyện</t>
  </si>
  <si>
    <t>Giá lưu vào giao dịch tại thời điểm mua</t>
  </si>
  <si>
    <t>PB18</t>
  </si>
  <si>
    <t>Quản lý gói đọc tháng (tên, mức phí, thời hạn, phạm vi, ngừng cung cấp)</t>
  </si>
  <si>
    <t>Gói ngừng cung cấp không bán mới nhưng người đang dùng vẫn còn hạn</t>
  </si>
  <si>
    <t>5. Thanh toán và quyền đọc</t>
  </si>
  <si>
    <t>PB19</t>
  </si>
  <si>
    <t>Đăng ký gói đọc tháng và thanh toán (cổng thanh toán giả lập)</t>
  </si>
  <si>
    <t>Sprint 3</t>
  </si>
  <si>
    <t>Chỉ kích hoạt gói khi giao dịch thành công</t>
  </si>
  <si>
    <t>PB20</t>
  </si>
  <si>
    <t>Gia hạn gói đọc</t>
  </si>
  <si>
    <t>Gia hạn khi còn hạn thì cộng dồn thời gian</t>
  </si>
  <si>
    <t>PB21</t>
  </si>
  <si>
    <t>Mua quyền đọc riêng từng bộ truyện</t>
  </si>
  <si>
    <t>Quyền đã mua không mất khi gói hết hạn</t>
  </si>
  <si>
    <t>PB22</t>
  </si>
  <si>
    <t>Kiểm tra quyền đọc chương trả phí (miễn phí / gói còn hạn / đã mua)</t>
  </si>
  <si>
    <t>Không yêu cầu thanh toán lại nội dung đã có quyền</t>
  </si>
  <si>
    <t>PB23</t>
  </si>
  <si>
    <t>Xử lý giao dịch thất bại, không cấp quyền đọc</t>
  </si>
  <si>
    <t>Giao dịch thất bại lưu trạng thái Failed</t>
  </si>
  <si>
    <t>PB24</t>
  </si>
  <si>
    <t>Đối soát giao dịch thành công nhưng chưa cập nhật quyền đọc</t>
  </si>
  <si>
    <t>Admin xem danh sách lệch và bấm cấp lại quyền</t>
  </si>
  <si>
    <t>PB25</t>
  </si>
  <si>
    <t>Xem lịch sử thanh toán, truyện đã mua, gói đang dùng và hạn gói</t>
  </si>
  <si>
    <t>Hiển thị ngày bắt đầu và ngày hết hạn gói</t>
  </si>
  <si>
    <t>6. Tiến độ đọc, theo dõi và thông báo</t>
  </si>
  <si>
    <t>PB26</t>
  </si>
  <si>
    <t>Lưu và tiếp tục tiến độ đọc (đồng bộ giữa Web và Mobile)</t>
  </si>
  <si>
    <t>Đọc dở trên app thì mở web tiếp tục đúng chương</t>
  </si>
  <si>
    <t>PB27</t>
  </si>
  <si>
    <t>Xem danh sách truyện đang đọc</t>
  </si>
  <si>
    <t>Sắp xếp theo lần đọc gần nhất</t>
  </si>
  <si>
    <t>PB28</t>
  </si>
  <si>
    <t>Theo dõi / bỏ theo dõi truyện và xem danh sách truyện quan tâm</t>
  </si>
  <si>
    <t>Sprint 4</t>
  </si>
  <si>
    <t>PB29</t>
  </si>
  <si>
    <t>Thông báo khi truyện đang theo dõi có chương mới</t>
  </si>
  <si>
    <t>Thông báo trong hệ thống; đánh dấu đã đọc</t>
  </si>
  <si>
    <t>7. Thảo luận và kiểm duyệt</t>
  </si>
  <si>
    <t>PB30</t>
  </si>
  <si>
    <t>Xem, đăng và trả lời thảo luận theo từng chương</t>
  </si>
  <si>
    <t>Thảo luận gắn đúng chương</t>
  </si>
  <si>
    <t>PB31</t>
  </si>
  <si>
    <t>Báo cáo nội dung thảo luận vi phạm</t>
  </si>
  <si>
    <t>PB32</t>
  </si>
  <si>
    <t>Admin kiểm duyệt thảo luận: ẩn/xóa, xử lý báo cáo</t>
  </si>
  <si>
    <t>8. Quản lý thành viên (Admin)</t>
  </si>
  <si>
    <t>PB33</t>
  </si>
  <si>
    <t>Xem danh sách, tình trạng tài khoản và thông tin sử dụng dịch vụ</t>
  </si>
  <si>
    <t>Lọc theo trạng thái; xem gói đang dùng, truyện đã mua</t>
  </si>
  <si>
    <t>PB34</t>
  </si>
  <si>
    <t>Hạn chế hoặc tạm ngừng tài khoản vi phạm</t>
  </si>
  <si>
    <t>Tài khoản bị khóa không đăng nhập / không bình luận được</t>
  </si>
  <si>
    <t>9. Thống kê (Admin)</t>
  </si>
  <si>
    <t>PB35</t>
  </si>
  <si>
    <t>Thống kê thành viên, đăng ký gói, gia hạn, mua truyện, trạng thái giao dịch</t>
  </si>
  <si>
    <t>Sprint 5</t>
  </si>
  <si>
    <t>Lọc theo khoảng thời gian</t>
  </si>
  <si>
    <t>PB36</t>
  </si>
  <si>
    <t>Thống kê doanh thu theo gói, theo truyện và theo thời gian</t>
  </si>
  <si>
    <t>Biểu đồ theo ngày / tháng</t>
  </si>
  <si>
    <t>PB37</t>
  </si>
  <si>
    <t>Thống kê nội dung: đọc nhiều, theo dõi nhiều, mua nhiều, thể loại quan tâm</t>
  </si>
  <si>
    <t>10. Nền tảng kỹ thuật</t>
  </si>
  <si>
    <t>PB38</t>
  </si>
  <si>
    <t>Thiết kế CSDL và tạo migration (EF Core, SQL Server)</t>
  </si>
  <si>
    <t>Sprint 0</t>
  </si>
  <si>
    <t>ERD đặt trong thư mục docs/</t>
  </si>
  <si>
    <t>PB39</t>
  </si>
  <si>
    <t>Khung Web API dùng chung (Swagger, xử lý lỗi, CORS)</t>
  </si>
  <si>
    <t>Trả lỗi 400/401/403/404 thống nhất</t>
  </si>
  <si>
    <t>PB40</t>
  </si>
  <si>
    <t>Khung Web (router, layout) và Mobile (navigation, Retrofit)</t>
  </si>
  <si>
    <t>Web, Mobile</t>
  </si>
  <si>
    <t>Web và Mobile gọi chung một API</t>
  </si>
  <si>
    <t>PB41</t>
  </si>
  <si>
    <t>Đọc offline chương đã tải trên Android</t>
  </si>
  <si>
    <t>Could</t>
  </si>
  <si>
    <t>Mobile</t>
  </si>
  <si>
    <t>Lưu chương bằng Room; đồng bộ tiến độ khi có mạng</t>
  </si>
  <si>
    <t>PB42</t>
  </si>
  <si>
    <t>Kiểm thử tích hợp Web + Mobile và tài liệu API</t>
  </si>
  <si>
    <t>Tổng điểm</t>
  </si>
  <si>
    <t>Tổng điểm theo Sprint</t>
  </si>
  <si>
    <t>Sprint 0 - Khởi tạo và hạ tầng</t>
  </si>
  <si>
    <t>Sprint 1 - Tài khoản, quản lý truyện/chương, đọc truyện cơ bản</t>
  </si>
  <si>
    <t>Sprint 2 - Chính sách truy cập, gói đọc, kiểm tra quyền đọc</t>
  </si>
  <si>
    <t>Sprint 3 - Thanh toán, giao dịch, tiến độ đọc</t>
  </si>
  <si>
    <t>Sprint 4 - Theo dõi, thông báo, thảo luận, quản lý thành viên</t>
  </si>
  <si>
    <t>Sprint 5 - Thống kê, đọc offline, kiểm thử</t>
  </si>
  <si>
    <t>Priority: Must = bắt buộc theo đề; Should = nên có; Could = điểm cộng nếu còn thời gian. Points theo thang 1, 2, 3, 5, 8.</t>
  </si>
  <si>
    <t>HỆ THỐNG QUẢN LÝ ĐỌC TRUYỆN - SPRINT BACKLOG</t>
  </si>
  <si>
    <t>Name Of Dev</t>
  </si>
  <si>
    <t>Start Date</t>
  </si>
  <si>
    <t>Endate</t>
  </si>
  <si>
    <t>Act Start Date</t>
  </si>
  <si>
    <t>ActEndate</t>
  </si>
  <si>
    <t>Act Points</t>
  </si>
  <si>
    <t>Notes</t>
  </si>
  <si>
    <t>Sprint 0 - Khởi tạo và hạ tầng (Tuần 1: 31/08 - 04/09/2026)</t>
  </si>
  <si>
    <t>Tuần 1</t>
  </si>
  <si>
    <t>API. ERD đặt trong thư mục docs/</t>
  </si>
  <si>
    <t>API. Trả lỗi 400/401/403/404 thống nhất</t>
  </si>
  <si>
    <t>Web, Mobile. Web và Mobile gọi chung một API</t>
  </si>
  <si>
    <t>Tổng điểm Sprint 0</t>
  </si>
  <si>
    <t>Sprint 1 - Tài khoản, quản lý truyện/chương, đọc truyện cơ bản (Tuần 2 - Tuần 3: 07/09 - 18/09/2026)</t>
  </si>
  <si>
    <t>API, Web, Mobile. Kiểm tra thông tin bắt buộc, email/tên đăng nhập trùng, mã hóa mật khẩu</t>
  </si>
  <si>
    <t>API, Web, Mobile. Trả token, lưu token trên Web/Mobile, đăng xuất xóa phiên</t>
  </si>
  <si>
    <t>API, Web. API chặn chức năng Admin; Web ẩn/hiện menu theo vai trò</t>
  </si>
  <si>
    <t>API, Web. Thêm, sửa, xóa thể loại; không xóa thể loại đang được dùng</t>
  </si>
  <si>
    <t>API, Web. Một truyện gán được nhiều thể loại; upload ảnh bìa</t>
  </si>
  <si>
    <t>API, Web. Người đọc thấy nhãn tình trạng ở trang truyện</t>
  </si>
  <si>
    <t>API, Web. Số thứ tự chương không trùng trong một truyện</t>
  </si>
  <si>
    <t>API, Web, Mobile. Có phân trang; lọc theo thể loại</t>
  </si>
  <si>
    <t>API, Web, Mobile. Mỗi chương có nhãn Miễn phí / Trả phí / Đã mở khóa</t>
  </si>
  <si>
    <t>API, Web, Mobile. Đọc được chương miễn phí khi chưa đăng nhập</t>
  </si>
  <si>
    <t>Tổng điểm Sprint 1</t>
  </si>
  <si>
    <t>Sprint 2 - Chính sách truy cập, gói đọc, kiểm tra quyền đọc (Tuần 4 - Tuần 5: 21/09 - 02/10/2026)</t>
  </si>
  <si>
    <t>API, Web, Mobile. Sửa tên hiển thị, ảnh đại diện; đổi mật khẩu cần mật khẩu cũ</t>
  </si>
  <si>
    <t>API, Web. Sửa đúng chương của đúng truyện</t>
  </si>
  <si>
    <t>API, Web. Chương chưa tới giờ không hiện với người đọc</t>
  </si>
  <si>
    <t>API, Web, Mobile. Trang chủ hiển thị 3 danh sách</t>
  </si>
  <si>
    <t>API. Mỗi lần mở chương tăng lượt đọc; có mốc thời gian để thống kê</t>
  </si>
  <si>
    <t>API, Web. Truyện kết hợp: chọn N chương đầu miễn phí hoặc đánh dấu từng chương</t>
  </si>
  <si>
    <t>API, Web. Giá lưu vào giao dịch tại thời điểm mua</t>
  </si>
  <si>
    <t>API, Web. Gói ngừng cung cấp không bán mới nhưng người đang dùng vẫn còn hạn</t>
  </si>
  <si>
    <t>API, Web, Mobile. Không yêu cầu thanh toán lại nội dung đã có quyền</t>
  </si>
  <si>
    <t>Tổng điểm Sprint 2</t>
  </si>
  <si>
    <t>Sprint 3 - Thanh toán, giao dịch, tiến độ đọc (Tuần 6 - Tuần 7: 05/10 - 16/10/2026)</t>
  </si>
  <si>
    <t>API, Web, Mobile. Chỉ kích hoạt gói khi giao dịch thành công</t>
  </si>
  <si>
    <t>API, Web, Mobile. Gia hạn khi còn hạn thì cộng dồn thời gian</t>
  </si>
  <si>
    <t>API, Web, Mobile. Quyền đã mua không mất khi gói hết hạn</t>
  </si>
  <si>
    <t>API. Giao dịch thất bại lưu trạng thái Failed</t>
  </si>
  <si>
    <t>API, Web. Admin xem danh sách lệch và bấm cấp lại quyền</t>
  </si>
  <si>
    <t>API, Web, Mobile. Hiển thị ngày bắt đầu và ngày hết hạn gói</t>
  </si>
  <si>
    <t>API, Web, Mobile. Đọc dở trên app thì mở web tiếp tục đúng chương</t>
  </si>
  <si>
    <t>API, Web, Mobile. Sắp xếp theo lần đọc gần nhất</t>
  </si>
  <si>
    <t>Tổng điểm Sprint 3</t>
  </si>
  <si>
    <t>Sprint 4 - Theo dõi, thông báo, thảo luận, quản lý thành viên (Tuần 8 - Tuần 9: 19/10 - 30/10/2026)</t>
  </si>
  <si>
    <t>API, Web, Mobile. Thông báo trong hệ thống; đánh dấu đã đọc</t>
  </si>
  <si>
    <t>API, Web, Mobile. Thảo luận gắn đúng chương</t>
  </si>
  <si>
    <t>API, Web. Lọc theo trạng thái; xem gói đang dùng, truyện đã mua</t>
  </si>
  <si>
    <t>API, Web. Tài khoản bị khóa không đăng nhập / không bình luận được</t>
  </si>
  <si>
    <t>Tổng điểm Sprint 4</t>
  </si>
  <si>
    <t>Sprint 5 - Thống kê, đọc offline, kiểm thử (Tuần 10 - Tuần 12: 02/11 - 20/11/2026)</t>
  </si>
  <si>
    <t>API, Web. Lọc theo khoảng thời gian</t>
  </si>
  <si>
    <t>API, Web. Biểu đồ theo ngày / tháng</t>
  </si>
  <si>
    <t>Mobile. Lưu chương bằng Room; đồng bộ tiến độ khi có mạng</t>
  </si>
  <si>
    <t>Tổng điểm Sprint 5</t>
  </si>
  <si>
    <t>TỔNG CỘNG</t>
  </si>
  <si>
    <t>TEAM DEVELOPMENT STRUCTURE</t>
  </si>
  <si>
    <t xml:space="preserve">Xây dựng hệ thống quản lý đọc truyện (Case study 03) - Đồ án Công nghệ Phần mềm Nâng cao, HUFLIT </t>
  </si>
  <si>
    <t>GitHub: https://github.com/hoquanglong10/BookreadManagement</t>
  </si>
  <si>
    <t>Hồ Quang 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</si>
</sst>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b/>
      <sz val="14"/>
      <color rgb="FF1F4E78"/>
      <name val="Arial"/>
    </font>
    <font>
      <b/>
      <sz val="11"/>
      <color rgb="FF1F4E78"/>
      <name val="Arial"/>
    </font>
    <font>
      <sz val="10"/>
      <color rgb="FF000000"/>
      <name val="Arial"/>
    </font>
    <font>
      <b/>
      <sz val="10"/>
      <color rgb="FFFFFFFF"/>
      <name val="Arial"/>
    </font>
    <font>
      <b/>
      <sz val="10"/>
      <color rgb="FF000000"/>
      <name val="Arial"/>
    </font>
    <font>
      <sz val="10"/>
      <color rgb="FF7F7F7F"/>
      <name val="Arial"/>
    </font>
    <font>
      <sz val="11"/>
      <color theme="1"/>
      <name val="Calibri"/>
    </font>
    <font>
      <b/>
      <sz val="14"/>
      <color rgb="FF1F4E78"/>
      <name val="Arial"/>
      <family val="2"/>
    </font>
    <font>
      <sz val="10"/>
      <color rgb="FF000000"/>
      <name val="Arial"/>
      <family val="2"/>
    </font>
  </fonts>
  <fills count="9">
    <fill>
      <patternFill patternType="none"/>
    </fill>
    <fill>
      <patternFill patternType="gray125"/>
    </fill>
    <fill>
      <patternFill patternType="solid">
        <fgColor rgb="FF1F4E78"/>
        <bgColor rgb="FF1F4E78"/>
      </patternFill>
    </fill>
    <fill>
      <patternFill patternType="solid">
        <fgColor rgb="FFFFF2CC"/>
        <bgColor rgb="FFFFF2CC"/>
      </patternFill>
    </fill>
    <fill>
      <patternFill patternType="solid">
        <fgColor theme="0"/>
        <bgColor theme="0"/>
      </patternFill>
    </fill>
    <fill>
      <patternFill patternType="solid">
        <fgColor rgb="FFDDEBF7"/>
        <bgColor rgb="FFDDEBF7"/>
      </patternFill>
    </fill>
    <fill>
      <patternFill patternType="solid">
        <fgColor rgb="FFE2EFDA"/>
        <bgColor rgb="FFE2EFDA"/>
      </patternFill>
    </fill>
    <fill>
      <patternFill patternType="solid">
        <fgColor rgb="FFFCE4D6"/>
        <bgColor rgb="FFFCE4D6"/>
      </patternFill>
    </fill>
    <fill>
      <patternFill patternType="solid">
        <fgColor theme="0"/>
        <bgColor rgb="FFFFF2CC"/>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34">
    <xf numFmtId="0" fontId="0" fillId="0" borderId="0" xfId="0" applyFont="1" applyAlignment="1"/>
    <xf numFmtId="0" fontId="3" fillId="0" borderId="0" xfId="0" applyFont="1" applyAlignment="1">
      <alignment vertical="top" wrapText="1"/>
    </xf>
    <xf numFmtId="0" fontId="4" fillId="2" borderId="1" xfId="0" applyFont="1" applyFill="1" applyBorder="1" applyAlignment="1">
      <alignment horizontal="center" vertical="top" wrapText="1"/>
    </xf>
    <xf numFmtId="0" fontId="5" fillId="0" borderId="1" xfId="0" applyFont="1" applyBorder="1" applyAlignment="1">
      <alignment vertical="top" wrapText="1"/>
    </xf>
    <xf numFmtId="0" fontId="3" fillId="0" borderId="1" xfId="0" applyFont="1" applyBorder="1" applyAlignment="1">
      <alignment vertical="top" wrapText="1"/>
    </xf>
    <xf numFmtId="0" fontId="5" fillId="0" borderId="0" xfId="0" applyFont="1" applyAlignment="1">
      <alignment vertical="top" wrapText="1"/>
    </xf>
    <xf numFmtId="0" fontId="3" fillId="3" borderId="1" xfId="0" applyFont="1" applyFill="1" applyBorder="1" applyAlignment="1">
      <alignment vertical="top" wrapText="1"/>
    </xf>
    <xf numFmtId="14" fontId="3" fillId="0" borderId="1" xfId="0" applyNumberFormat="1" applyFont="1" applyBorder="1" applyAlignment="1">
      <alignment horizontal="center" vertical="top" wrapText="1"/>
    </xf>
    <xf numFmtId="0" fontId="3" fillId="4" borderId="1" xfId="0" applyFont="1" applyFill="1" applyBorder="1" applyAlignment="1">
      <alignment vertical="top" wrapText="1"/>
    </xf>
    <xf numFmtId="0" fontId="3" fillId="0" borderId="1" xfId="0" applyFont="1" applyBorder="1" applyAlignment="1">
      <alignment vertical="top" wrapText="1"/>
    </xf>
    <xf numFmtId="0" fontId="6" fillId="0" borderId="0" xfId="0" applyFont="1"/>
    <xf numFmtId="0" fontId="5" fillId="5" borderId="1" xfId="0" applyFont="1" applyFill="1" applyBorder="1"/>
    <xf numFmtId="0" fontId="7" fillId="5" borderId="1" xfId="0" applyFont="1" applyFill="1" applyBorder="1"/>
    <xf numFmtId="0" fontId="3" fillId="0" borderId="1" xfId="0" applyFont="1" applyBorder="1" applyAlignment="1">
      <alignment horizontal="center" vertical="top" wrapText="1"/>
    </xf>
    <xf numFmtId="0" fontId="7" fillId="6" borderId="1" xfId="0" applyFont="1" applyFill="1" applyBorder="1"/>
    <xf numFmtId="0" fontId="5" fillId="6" borderId="1" xfId="0" applyFont="1" applyFill="1" applyBorder="1"/>
    <xf numFmtId="0" fontId="5" fillId="6" borderId="1" xfId="0" applyFont="1" applyFill="1" applyBorder="1" applyAlignment="1">
      <alignment horizontal="center" vertical="top" wrapText="1"/>
    </xf>
    <xf numFmtId="0" fontId="5" fillId="0" borderId="0" xfId="0" applyFont="1"/>
    <xf numFmtId="0" fontId="3" fillId="0" borderId="0" xfId="0" applyFont="1"/>
    <xf numFmtId="0" fontId="3" fillId="0" borderId="0" xfId="0" applyFont="1" applyAlignment="1">
      <alignment horizontal="center" vertical="top" wrapText="1"/>
    </xf>
    <xf numFmtId="0" fontId="5" fillId="7" borderId="1" xfId="0" applyFont="1" applyFill="1" applyBorder="1"/>
    <xf numFmtId="0" fontId="7" fillId="7" borderId="1" xfId="0" applyFont="1" applyFill="1" applyBorder="1"/>
    <xf numFmtId="0" fontId="3" fillId="0" borderId="1" xfId="0" applyFont="1" applyBorder="1" applyAlignment="1">
      <alignment horizontal="center" vertical="top" wrapText="1"/>
    </xf>
    <xf numFmtId="14" fontId="3" fillId="3" borderId="1" xfId="0" applyNumberFormat="1" applyFont="1" applyFill="1" applyBorder="1" applyAlignment="1">
      <alignment horizontal="center" vertical="top" wrapText="1"/>
    </xf>
    <xf numFmtId="0" fontId="3" fillId="3" borderId="1" xfId="0" applyFont="1" applyFill="1" applyBorder="1" applyAlignment="1">
      <alignment horizontal="center" vertical="top" wrapText="1"/>
    </xf>
    <xf numFmtId="0" fontId="5" fillId="0" borderId="0" xfId="0" applyFont="1" applyAlignment="1">
      <alignment horizontal="center" vertical="top" wrapText="1"/>
    </xf>
    <xf numFmtId="0" fontId="1" fillId="0" borderId="0" xfId="0" applyFont="1"/>
    <xf numFmtId="0" fontId="0" fillId="0" borderId="0" xfId="0" applyFont="1" applyAlignment="1"/>
    <xf numFmtId="0" fontId="2" fillId="0" borderId="0" xfId="0" applyFont="1"/>
    <xf numFmtId="0" fontId="3" fillId="0" borderId="0" xfId="0" applyFont="1" applyAlignment="1">
      <alignment vertical="top" wrapText="1"/>
    </xf>
    <xf numFmtId="0" fontId="3" fillId="8" borderId="1" xfId="0" applyFont="1" applyFill="1" applyBorder="1" applyAlignment="1">
      <alignment vertical="top" wrapText="1"/>
    </xf>
    <xf numFmtId="0" fontId="8" fillId="0" borderId="0" xfId="0" applyFont="1"/>
    <xf numFmtId="0" fontId="9" fillId="0" borderId="0" xfId="0" applyFont="1" applyAlignment="1">
      <alignment vertical="top" wrapText="1"/>
    </xf>
    <xf numFmtId="0" fontId="9"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topLeftCell="A40" workbookViewId="0">
      <selection activeCell="C68" sqref="C68"/>
    </sheetView>
  </sheetViews>
  <sheetFormatPr defaultColWidth="14.453125" defaultRowHeight="15" customHeight="1" x14ac:dyDescent="0.35"/>
  <cols>
    <col min="1" max="1" width="10" customWidth="1"/>
    <col min="2" max="2" width="28" customWidth="1"/>
    <col min="3" max="3" width="90" customWidth="1"/>
    <col min="4" max="26" width="8.7265625" customWidth="1"/>
  </cols>
  <sheetData>
    <row r="1" spans="1:3" ht="14.25" customHeight="1" x14ac:dyDescent="0.4">
      <c r="A1" s="26" t="s">
        <v>0</v>
      </c>
      <c r="B1" s="27"/>
      <c r="C1" s="27"/>
    </row>
    <row r="2" spans="1:3" ht="14.25" customHeight="1" x14ac:dyDescent="0.35"/>
    <row r="3" spans="1:3" ht="14.25" customHeight="1" x14ac:dyDescent="0.35">
      <c r="A3" s="28" t="s">
        <v>1</v>
      </c>
      <c r="B3" s="27"/>
      <c r="C3" s="27"/>
    </row>
    <row r="4" spans="1:3" ht="15" customHeight="1" x14ac:dyDescent="0.35">
      <c r="A4" s="32" t="s">
        <v>322</v>
      </c>
      <c r="B4" s="27"/>
      <c r="C4" s="27"/>
    </row>
    <row r="5" spans="1:3" ht="14.25" customHeight="1" x14ac:dyDescent="0.35"/>
    <row r="6" spans="1:3" ht="14.25" customHeight="1" x14ac:dyDescent="0.35">
      <c r="A6" s="28" t="s">
        <v>2</v>
      </c>
      <c r="B6" s="27"/>
      <c r="C6" s="27"/>
    </row>
    <row r="7" spans="1:3" ht="45" customHeight="1" x14ac:dyDescent="0.35">
      <c r="A7" s="29" t="s">
        <v>3</v>
      </c>
      <c r="B7" s="27"/>
      <c r="C7" s="27"/>
    </row>
    <row r="8" spans="1:3" ht="14.25" customHeight="1" x14ac:dyDescent="0.35"/>
    <row r="9" spans="1:3" ht="14.25" customHeight="1" x14ac:dyDescent="0.35">
      <c r="A9" s="28" t="s">
        <v>4</v>
      </c>
      <c r="B9" s="27"/>
      <c r="C9" s="27"/>
    </row>
    <row r="10" spans="1:3" ht="15" customHeight="1" x14ac:dyDescent="0.35">
      <c r="A10" s="29" t="s">
        <v>5</v>
      </c>
      <c r="B10" s="27"/>
      <c r="C10" s="27"/>
    </row>
    <row r="11" spans="1:3" ht="15" customHeight="1" x14ac:dyDescent="0.35">
      <c r="A11" s="29" t="s">
        <v>6</v>
      </c>
      <c r="B11" s="27"/>
      <c r="C11" s="27"/>
    </row>
    <row r="12" spans="1:3" ht="30" customHeight="1" x14ac:dyDescent="0.35">
      <c r="A12" s="29" t="s">
        <v>7</v>
      </c>
      <c r="B12" s="27"/>
      <c r="C12" s="27"/>
    </row>
    <row r="13" spans="1:3" ht="14.25" customHeight="1" x14ac:dyDescent="0.35"/>
    <row r="14" spans="1:3" ht="14.25" customHeight="1" x14ac:dyDescent="0.35">
      <c r="A14" s="28" t="s">
        <v>8</v>
      </c>
      <c r="B14" s="27"/>
      <c r="C14" s="27"/>
    </row>
    <row r="15" spans="1:3" ht="14.25" customHeight="1" x14ac:dyDescent="0.35">
      <c r="A15" s="2" t="s">
        <v>9</v>
      </c>
      <c r="B15" s="2" t="s">
        <v>10</v>
      </c>
      <c r="C15" s="2" t="s">
        <v>11</v>
      </c>
    </row>
    <row r="16" spans="1:3" ht="30" customHeight="1" x14ac:dyDescent="0.35">
      <c r="A16" s="3" t="s">
        <v>12</v>
      </c>
      <c r="B16" s="4" t="s">
        <v>13</v>
      </c>
      <c r="C16" s="4" t="s">
        <v>14</v>
      </c>
    </row>
    <row r="17" spans="1:3" ht="30" customHeight="1" x14ac:dyDescent="0.35">
      <c r="A17" s="3" t="s">
        <v>15</v>
      </c>
      <c r="B17" s="4" t="s">
        <v>16</v>
      </c>
      <c r="C17" s="4" t="s">
        <v>17</v>
      </c>
    </row>
    <row r="18" spans="1:3" ht="30" customHeight="1" x14ac:dyDescent="0.35">
      <c r="A18" s="3" t="s">
        <v>18</v>
      </c>
      <c r="B18" s="4" t="s">
        <v>19</v>
      </c>
      <c r="C18" s="4" t="s">
        <v>20</v>
      </c>
    </row>
    <row r="19" spans="1:3" ht="30" customHeight="1" x14ac:dyDescent="0.35">
      <c r="A19" s="3" t="s">
        <v>21</v>
      </c>
      <c r="B19" s="4" t="s">
        <v>22</v>
      </c>
      <c r="C19" s="4" t="s">
        <v>23</v>
      </c>
    </row>
    <row r="20" spans="1:3" ht="30" customHeight="1" x14ac:dyDescent="0.35">
      <c r="A20" s="3" t="s">
        <v>24</v>
      </c>
      <c r="B20" s="4" t="s">
        <v>25</v>
      </c>
      <c r="C20" s="4" t="s">
        <v>26</v>
      </c>
    </row>
    <row r="21" spans="1:3" ht="30" customHeight="1" x14ac:dyDescent="0.35">
      <c r="A21" s="3" t="s">
        <v>27</v>
      </c>
      <c r="B21" s="4" t="s">
        <v>28</v>
      </c>
      <c r="C21" s="4" t="s">
        <v>29</v>
      </c>
    </row>
    <row r="22" spans="1:3" ht="30" customHeight="1" x14ac:dyDescent="0.35">
      <c r="A22" s="3" t="s">
        <v>30</v>
      </c>
      <c r="B22" s="4" t="s">
        <v>31</v>
      </c>
      <c r="C22" s="4" t="s">
        <v>32</v>
      </c>
    </row>
    <row r="23" spans="1:3" ht="30" customHeight="1" x14ac:dyDescent="0.35">
      <c r="A23" s="3" t="s">
        <v>33</v>
      </c>
      <c r="B23" s="4" t="s">
        <v>34</v>
      </c>
      <c r="C23" s="4" t="s">
        <v>35</v>
      </c>
    </row>
    <row r="24" spans="1:3" ht="30" customHeight="1" x14ac:dyDescent="0.35">
      <c r="A24" s="3" t="s">
        <v>36</v>
      </c>
      <c r="B24" s="4" t="s">
        <v>37</v>
      </c>
      <c r="C24" s="4" t="s">
        <v>38</v>
      </c>
    </row>
    <row r="25" spans="1:3" ht="30" customHeight="1" x14ac:dyDescent="0.35">
      <c r="A25" s="3" t="s">
        <v>39</v>
      </c>
      <c r="B25" s="4" t="s">
        <v>40</v>
      </c>
      <c r="C25" s="4" t="s">
        <v>41</v>
      </c>
    </row>
    <row r="26" spans="1:3" ht="30" customHeight="1" x14ac:dyDescent="0.35">
      <c r="A26" s="3" t="s">
        <v>42</v>
      </c>
      <c r="B26" s="4" t="s">
        <v>43</v>
      </c>
      <c r="C26" s="4" t="s">
        <v>44</v>
      </c>
    </row>
    <row r="27" spans="1:3" ht="30" customHeight="1" x14ac:dyDescent="0.35">
      <c r="A27" s="3" t="s">
        <v>45</v>
      </c>
      <c r="B27" s="4" t="s">
        <v>46</v>
      </c>
      <c r="C27" s="4" t="s">
        <v>47</v>
      </c>
    </row>
    <row r="28" spans="1:3" ht="30" customHeight="1" x14ac:dyDescent="0.35">
      <c r="A28" s="3" t="s">
        <v>48</v>
      </c>
      <c r="B28" s="4" t="s">
        <v>49</v>
      </c>
      <c r="C28" s="4" t="s">
        <v>50</v>
      </c>
    </row>
    <row r="29" spans="1:3" ht="30" customHeight="1" x14ac:dyDescent="0.35">
      <c r="A29" s="3" t="s">
        <v>51</v>
      </c>
      <c r="B29" s="4" t="s">
        <v>52</v>
      </c>
      <c r="C29" s="4" t="s">
        <v>53</v>
      </c>
    </row>
    <row r="30" spans="1:3" ht="30" customHeight="1" x14ac:dyDescent="0.35">
      <c r="A30" s="3" t="s">
        <v>54</v>
      </c>
      <c r="B30" s="4" t="s">
        <v>55</v>
      </c>
      <c r="C30" s="4" t="s">
        <v>56</v>
      </c>
    </row>
    <row r="31" spans="1:3" ht="30" customHeight="1" x14ac:dyDescent="0.35">
      <c r="A31" s="3" t="s">
        <v>57</v>
      </c>
      <c r="B31" s="4" t="s">
        <v>58</v>
      </c>
      <c r="C31" s="4" t="s">
        <v>59</v>
      </c>
    </row>
    <row r="32" spans="1:3" ht="30" customHeight="1" x14ac:dyDescent="0.35">
      <c r="A32" s="3" t="s">
        <v>60</v>
      </c>
      <c r="B32" s="4" t="s">
        <v>61</v>
      </c>
      <c r="C32" s="4" t="s">
        <v>62</v>
      </c>
    </row>
    <row r="33" spans="1:3" ht="30" customHeight="1" x14ac:dyDescent="0.35">
      <c r="A33" s="3" t="s">
        <v>63</v>
      </c>
      <c r="B33" s="4" t="s">
        <v>64</v>
      </c>
      <c r="C33" s="4" t="s">
        <v>65</v>
      </c>
    </row>
    <row r="34" spans="1:3" ht="14.25" customHeight="1" x14ac:dyDescent="0.35"/>
    <row r="35" spans="1:3" ht="14.25" customHeight="1" x14ac:dyDescent="0.35">
      <c r="A35" s="28" t="s">
        <v>66</v>
      </c>
      <c r="B35" s="27"/>
      <c r="C35" s="27"/>
    </row>
    <row r="36" spans="1:3" ht="15" customHeight="1" x14ac:dyDescent="0.35">
      <c r="A36" s="29" t="s">
        <v>67</v>
      </c>
      <c r="B36" s="27"/>
      <c r="C36" s="27"/>
    </row>
    <row r="37" spans="1:3" ht="15" customHeight="1" x14ac:dyDescent="0.35">
      <c r="A37" s="29" t="s">
        <v>68</v>
      </c>
      <c r="B37" s="27"/>
      <c r="C37" s="27"/>
    </row>
    <row r="38" spans="1:3" ht="15" customHeight="1" x14ac:dyDescent="0.35">
      <c r="A38" s="29" t="s">
        <v>69</v>
      </c>
      <c r="B38" s="27"/>
      <c r="C38" s="27"/>
    </row>
    <row r="39" spans="1:3" ht="15" customHeight="1" x14ac:dyDescent="0.35">
      <c r="A39" s="29" t="s">
        <v>70</v>
      </c>
      <c r="B39" s="27"/>
      <c r="C39" s="27"/>
    </row>
    <row r="40" spans="1:3" ht="15" customHeight="1" x14ac:dyDescent="0.35">
      <c r="A40" s="29" t="s">
        <v>71</v>
      </c>
      <c r="B40" s="27"/>
      <c r="C40" s="27"/>
    </row>
    <row r="41" spans="1:3" ht="15" customHeight="1" x14ac:dyDescent="0.35">
      <c r="A41" s="29" t="s">
        <v>72</v>
      </c>
      <c r="B41" s="27"/>
      <c r="C41" s="27"/>
    </row>
    <row r="42" spans="1:3" ht="15" customHeight="1" x14ac:dyDescent="0.35">
      <c r="A42" s="29" t="s">
        <v>73</v>
      </c>
      <c r="B42" s="27"/>
      <c r="C42" s="27"/>
    </row>
    <row r="43" spans="1:3" ht="15" customHeight="1" x14ac:dyDescent="0.35">
      <c r="A43" s="29" t="s">
        <v>74</v>
      </c>
      <c r="B43" s="27"/>
      <c r="C43" s="27"/>
    </row>
    <row r="44" spans="1:3" ht="14.25" customHeight="1" x14ac:dyDescent="0.35"/>
    <row r="45" spans="1:3" ht="14.25" customHeight="1" x14ac:dyDescent="0.35">
      <c r="A45" s="28" t="s">
        <v>75</v>
      </c>
      <c r="B45" s="27"/>
      <c r="C45" s="27"/>
    </row>
    <row r="46" spans="1:3" ht="15" customHeight="1" x14ac:dyDescent="0.35">
      <c r="A46" s="29" t="s">
        <v>76</v>
      </c>
      <c r="B46" s="27"/>
      <c r="C46" s="27"/>
    </row>
    <row r="47" spans="1:3" ht="15" customHeight="1" x14ac:dyDescent="0.35">
      <c r="A47" s="29" t="s">
        <v>77</v>
      </c>
      <c r="B47" s="27"/>
      <c r="C47" s="27"/>
    </row>
    <row r="48" spans="1:3" ht="15" customHeight="1" x14ac:dyDescent="0.35">
      <c r="A48" s="29" t="s">
        <v>78</v>
      </c>
      <c r="B48" s="27"/>
      <c r="C48" s="27"/>
    </row>
    <row r="49" spans="1:3" ht="14.25" customHeight="1" x14ac:dyDescent="0.35"/>
    <row r="50" spans="1:3" ht="14.25" customHeight="1" x14ac:dyDescent="0.35">
      <c r="A50" s="28" t="s">
        <v>79</v>
      </c>
      <c r="B50" s="27"/>
      <c r="C50" s="27"/>
    </row>
    <row r="51" spans="1:3" ht="14.25" customHeight="1" x14ac:dyDescent="0.35">
      <c r="A51" s="1"/>
      <c r="B51" s="5" t="s">
        <v>80</v>
      </c>
      <c r="C51" s="1" t="s">
        <v>81</v>
      </c>
    </row>
    <row r="52" spans="1:3" ht="14.25" customHeight="1" x14ac:dyDescent="0.35">
      <c r="A52" s="1"/>
      <c r="B52" s="5" t="s">
        <v>82</v>
      </c>
      <c r="C52" s="1" t="s">
        <v>83</v>
      </c>
    </row>
    <row r="53" spans="1:3" ht="14.25" customHeight="1" x14ac:dyDescent="0.35">
      <c r="A53" s="1"/>
      <c r="B53" s="5" t="s">
        <v>84</v>
      </c>
      <c r="C53" s="1" t="s">
        <v>85</v>
      </c>
    </row>
    <row r="54" spans="1:3" ht="14.25" customHeight="1" x14ac:dyDescent="0.35">
      <c r="A54" s="1"/>
      <c r="B54" s="5" t="s">
        <v>86</v>
      </c>
      <c r="C54" s="1" t="s">
        <v>87</v>
      </c>
    </row>
    <row r="55" spans="1:3" ht="14.25" customHeight="1" x14ac:dyDescent="0.35">
      <c r="A55" s="1"/>
      <c r="B55" s="5" t="s">
        <v>88</v>
      </c>
      <c r="C55" s="33" t="s">
        <v>323</v>
      </c>
    </row>
    <row r="56" spans="1:3" ht="14.25" customHeight="1" x14ac:dyDescent="0.35"/>
    <row r="57" spans="1:3" ht="14.25" customHeight="1" x14ac:dyDescent="0.35"/>
    <row r="58" spans="1:3" ht="14.25" customHeight="1" x14ac:dyDescent="0.35"/>
    <row r="59" spans="1:3" ht="14.25" customHeight="1" x14ac:dyDescent="0.35"/>
    <row r="60" spans="1:3" ht="14.25" customHeight="1" x14ac:dyDescent="0.35"/>
    <row r="61" spans="1:3" ht="14.25" customHeight="1" x14ac:dyDescent="0.35"/>
    <row r="62" spans="1:3" ht="14.25" customHeight="1" x14ac:dyDescent="0.35"/>
    <row r="63" spans="1:3" ht="14.25" customHeight="1" x14ac:dyDescent="0.35"/>
    <row r="64" spans="1: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24">
    <mergeCell ref="A48:C48"/>
    <mergeCell ref="A50:C50"/>
    <mergeCell ref="A39:C39"/>
    <mergeCell ref="A40:C40"/>
    <mergeCell ref="A41:C41"/>
    <mergeCell ref="A42:C42"/>
    <mergeCell ref="A43:C43"/>
    <mergeCell ref="A45:C45"/>
    <mergeCell ref="A46:C46"/>
    <mergeCell ref="A35:C35"/>
    <mergeCell ref="A36:C36"/>
    <mergeCell ref="A37:C37"/>
    <mergeCell ref="A38:C38"/>
    <mergeCell ref="A47:C47"/>
    <mergeCell ref="A9:C9"/>
    <mergeCell ref="A10:C10"/>
    <mergeCell ref="A11:C11"/>
    <mergeCell ref="A12:C12"/>
    <mergeCell ref="A14:C14"/>
    <mergeCell ref="A1:C1"/>
    <mergeCell ref="A3:C3"/>
    <mergeCell ref="A4:C4"/>
    <mergeCell ref="A6:C6"/>
    <mergeCell ref="A7:C7"/>
  </mergeCell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sqref="A1:F1"/>
    </sheetView>
  </sheetViews>
  <sheetFormatPr defaultColWidth="14.453125" defaultRowHeight="15" customHeight="1" x14ac:dyDescent="0.35"/>
  <cols>
    <col min="1" max="1" width="6" customWidth="1"/>
    <col min="2" max="2" width="30" customWidth="1"/>
    <col min="3" max="3" width="20" customWidth="1"/>
    <col min="4" max="4" width="36" customWidth="1"/>
    <col min="5" max="6" width="14" customWidth="1"/>
    <col min="7" max="26" width="8.7265625" customWidth="1"/>
  </cols>
  <sheetData>
    <row r="1" spans="1:6" ht="14.25" customHeight="1" x14ac:dyDescent="0.4">
      <c r="A1" s="31" t="s">
        <v>321</v>
      </c>
      <c r="B1" s="27"/>
      <c r="C1" s="27"/>
      <c r="D1" s="27"/>
      <c r="E1" s="27"/>
      <c r="F1" s="27"/>
    </row>
    <row r="2" spans="1:6" ht="14.25" customHeight="1" x14ac:dyDescent="0.35">
      <c r="A2" s="2" t="s">
        <v>89</v>
      </c>
      <c r="B2" s="2" t="s">
        <v>90</v>
      </c>
      <c r="C2" s="2" t="s">
        <v>91</v>
      </c>
      <c r="D2" s="2" t="s">
        <v>92</v>
      </c>
      <c r="E2" s="2" t="s">
        <v>93</v>
      </c>
      <c r="F2" s="2" t="s">
        <v>94</v>
      </c>
    </row>
    <row r="3" spans="1:6" ht="14.25" customHeight="1" x14ac:dyDescent="0.35">
      <c r="A3" s="9">
        <v>1</v>
      </c>
      <c r="B3" s="9" t="s">
        <v>95</v>
      </c>
      <c r="C3" s="9" t="s">
        <v>96</v>
      </c>
      <c r="D3" s="9" t="s">
        <v>97</v>
      </c>
      <c r="E3" s="7">
        <v>46265</v>
      </c>
      <c r="F3" s="7">
        <v>46346</v>
      </c>
    </row>
    <row r="4" spans="1:6" ht="14.25" customHeight="1" x14ac:dyDescent="0.35">
      <c r="A4" s="4"/>
      <c r="B4" s="4"/>
      <c r="C4" s="30"/>
      <c r="D4" s="30"/>
      <c r="E4" s="7"/>
      <c r="F4" s="7"/>
    </row>
    <row r="5" spans="1:6" ht="14.25" customHeight="1" x14ac:dyDescent="0.35">
      <c r="A5" s="4"/>
      <c r="B5" s="4"/>
      <c r="C5" s="30"/>
      <c r="D5" s="30"/>
      <c r="E5" s="7"/>
      <c r="F5" s="7"/>
    </row>
    <row r="6" spans="1:6" ht="14.25" customHeight="1" x14ac:dyDescent="0.35">
      <c r="A6" s="4"/>
      <c r="B6" s="4"/>
      <c r="C6" s="8"/>
      <c r="D6" s="30"/>
      <c r="E6" s="7"/>
      <c r="F6" s="7"/>
    </row>
    <row r="7" spans="1:6" ht="14.25" customHeight="1" x14ac:dyDescent="0.35">
      <c r="A7" s="4"/>
      <c r="B7" s="4"/>
      <c r="C7" s="9"/>
      <c r="D7" s="9"/>
      <c r="E7" s="7"/>
      <c r="F7" s="7"/>
    </row>
    <row r="8" spans="1:6" ht="14.25" customHeight="1" x14ac:dyDescent="0.35">
      <c r="A8" s="4"/>
      <c r="B8" s="4"/>
      <c r="C8" s="4"/>
      <c r="D8" s="4"/>
      <c r="E8" s="7"/>
      <c r="F8" s="7"/>
    </row>
    <row r="9" spans="1:6" ht="14.25" customHeight="1" x14ac:dyDescent="0.35"/>
    <row r="10" spans="1:6" ht="14.25" customHeight="1" x14ac:dyDescent="0.35">
      <c r="A10" s="10"/>
    </row>
    <row r="11" spans="1:6" ht="14.25" customHeight="1" x14ac:dyDescent="0.35"/>
    <row r="12" spans="1:6" ht="14.25" customHeight="1" x14ac:dyDescent="0.35"/>
    <row r="13" spans="1:6" ht="14.25" customHeight="1" x14ac:dyDescent="0.35"/>
    <row r="14" spans="1:6" ht="14.25" customHeight="1" x14ac:dyDescent="0.35"/>
    <row r="15" spans="1:6" ht="14.25" customHeight="1" x14ac:dyDescent="0.35"/>
    <row r="16" spans="1:6"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
    <mergeCell ref="A1:F1"/>
  </mergeCell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workbookViewId="0">
      <pane ySplit="2" topLeftCell="A3" activePane="bottomLeft" state="frozen"/>
      <selection pane="bottomLeft" activeCell="B4" sqref="B4"/>
    </sheetView>
  </sheetViews>
  <sheetFormatPr defaultColWidth="14.453125" defaultRowHeight="15" customHeight="1" x14ac:dyDescent="0.35"/>
  <cols>
    <col min="1" max="1" width="10" customWidth="1"/>
    <col min="2" max="2" width="60" customWidth="1"/>
    <col min="3" max="3" width="8" customWidth="1"/>
    <col min="4" max="4" width="10" customWidth="1"/>
    <col min="5" max="5" width="12" customWidth="1"/>
    <col min="6" max="6" width="18" customWidth="1"/>
    <col min="7" max="7" width="10" customWidth="1"/>
    <col min="8" max="8" width="60" customWidth="1"/>
    <col min="9" max="26" width="8.7265625" customWidth="1"/>
  </cols>
  <sheetData>
    <row r="1" spans="1:8" ht="14.25" customHeight="1" x14ac:dyDescent="0.4">
      <c r="A1" s="26" t="s">
        <v>98</v>
      </c>
      <c r="B1" s="27"/>
      <c r="C1" s="27"/>
      <c r="D1" s="27"/>
      <c r="E1" s="27"/>
      <c r="F1" s="27"/>
      <c r="G1" s="27"/>
      <c r="H1" s="27"/>
    </row>
    <row r="2" spans="1:8" ht="14.25" customHeight="1" x14ac:dyDescent="0.35">
      <c r="A2" s="2" t="s">
        <v>99</v>
      </c>
      <c r="B2" s="2" t="s">
        <v>100</v>
      </c>
      <c r="C2" s="2" t="s">
        <v>101</v>
      </c>
      <c r="D2" s="2" t="s">
        <v>102</v>
      </c>
      <c r="E2" s="2" t="s">
        <v>103</v>
      </c>
      <c r="F2" s="2" t="s">
        <v>104</v>
      </c>
      <c r="G2" s="2" t="s">
        <v>105</v>
      </c>
      <c r="H2" s="2" t="s">
        <v>106</v>
      </c>
    </row>
    <row r="3" spans="1:8" ht="14.25" customHeight="1" x14ac:dyDescent="0.35">
      <c r="A3" s="11" t="s">
        <v>107</v>
      </c>
      <c r="B3" s="12"/>
      <c r="C3" s="12"/>
      <c r="D3" s="12"/>
      <c r="E3" s="12"/>
      <c r="F3" s="12"/>
      <c r="G3" s="12"/>
      <c r="H3" s="12"/>
    </row>
    <row r="4" spans="1:8" ht="14.25" customHeight="1" x14ac:dyDescent="0.35">
      <c r="A4" s="13" t="s">
        <v>108</v>
      </c>
      <c r="B4" s="4" t="s">
        <v>109</v>
      </c>
      <c r="C4" s="13">
        <v>3</v>
      </c>
      <c r="D4" s="13" t="s">
        <v>110</v>
      </c>
      <c r="E4" s="13" t="s">
        <v>111</v>
      </c>
      <c r="F4" s="4" t="s">
        <v>112</v>
      </c>
      <c r="G4" s="13" t="s">
        <v>113</v>
      </c>
      <c r="H4" s="4" t="s">
        <v>114</v>
      </c>
    </row>
    <row r="5" spans="1:8" ht="14.25" customHeight="1" x14ac:dyDescent="0.35">
      <c r="A5" s="13" t="s">
        <v>115</v>
      </c>
      <c r="B5" s="4" t="s">
        <v>116</v>
      </c>
      <c r="C5" s="13">
        <v>3</v>
      </c>
      <c r="D5" s="13" t="s">
        <v>110</v>
      </c>
      <c r="E5" s="13" t="s">
        <v>111</v>
      </c>
      <c r="F5" s="4" t="s">
        <v>112</v>
      </c>
      <c r="G5" s="13" t="s">
        <v>113</v>
      </c>
      <c r="H5" s="4" t="s">
        <v>117</v>
      </c>
    </row>
    <row r="6" spans="1:8" ht="14.25" customHeight="1" x14ac:dyDescent="0.35">
      <c r="A6" s="13" t="s">
        <v>118</v>
      </c>
      <c r="B6" s="4" t="s">
        <v>119</v>
      </c>
      <c r="C6" s="13">
        <v>5</v>
      </c>
      <c r="D6" s="13" t="s">
        <v>110</v>
      </c>
      <c r="E6" s="13" t="s">
        <v>111</v>
      </c>
      <c r="F6" s="4" t="s">
        <v>120</v>
      </c>
      <c r="G6" s="13" t="s">
        <v>113</v>
      </c>
      <c r="H6" s="4" t="s">
        <v>121</v>
      </c>
    </row>
    <row r="7" spans="1:8" ht="14.25" customHeight="1" x14ac:dyDescent="0.35">
      <c r="A7" s="13" t="s">
        <v>122</v>
      </c>
      <c r="B7" s="4" t="s">
        <v>123</v>
      </c>
      <c r="C7" s="13">
        <v>2</v>
      </c>
      <c r="D7" s="13" t="s">
        <v>124</v>
      </c>
      <c r="E7" s="13" t="s">
        <v>111</v>
      </c>
      <c r="F7" s="4" t="s">
        <v>112</v>
      </c>
      <c r="G7" s="13" t="s">
        <v>125</v>
      </c>
      <c r="H7" s="4" t="s">
        <v>126</v>
      </c>
    </row>
    <row r="8" spans="1:8" ht="14.25" customHeight="1" x14ac:dyDescent="0.35">
      <c r="A8" s="11" t="s">
        <v>127</v>
      </c>
      <c r="B8" s="12"/>
      <c r="C8" s="12"/>
      <c r="D8" s="12"/>
      <c r="E8" s="12"/>
      <c r="F8" s="12"/>
      <c r="G8" s="12"/>
      <c r="H8" s="12"/>
    </row>
    <row r="9" spans="1:8" ht="14.25" customHeight="1" x14ac:dyDescent="0.35">
      <c r="A9" s="13" t="s">
        <v>128</v>
      </c>
      <c r="B9" s="4" t="s">
        <v>129</v>
      </c>
      <c r="C9" s="13">
        <v>2</v>
      </c>
      <c r="D9" s="13" t="s">
        <v>110</v>
      </c>
      <c r="E9" s="13" t="s">
        <v>12</v>
      </c>
      <c r="F9" s="4" t="s">
        <v>120</v>
      </c>
      <c r="G9" s="13" t="s">
        <v>113</v>
      </c>
      <c r="H9" s="4" t="s">
        <v>130</v>
      </c>
    </row>
    <row r="10" spans="1:8" ht="14.25" customHeight="1" x14ac:dyDescent="0.35">
      <c r="A10" s="13" t="s">
        <v>131</v>
      </c>
      <c r="B10" s="4" t="s">
        <v>132</v>
      </c>
      <c r="C10" s="13">
        <v>5</v>
      </c>
      <c r="D10" s="13" t="s">
        <v>110</v>
      </c>
      <c r="E10" s="13" t="s">
        <v>12</v>
      </c>
      <c r="F10" s="4" t="s">
        <v>120</v>
      </c>
      <c r="G10" s="13" t="s">
        <v>113</v>
      </c>
      <c r="H10" s="4" t="s">
        <v>133</v>
      </c>
    </row>
    <row r="11" spans="1:8" ht="14.25" customHeight="1" x14ac:dyDescent="0.35">
      <c r="A11" s="13" t="s">
        <v>134</v>
      </c>
      <c r="B11" s="4" t="s">
        <v>135</v>
      </c>
      <c r="C11" s="13">
        <v>1</v>
      </c>
      <c r="D11" s="13" t="s">
        <v>110</v>
      </c>
      <c r="E11" s="13" t="s">
        <v>12</v>
      </c>
      <c r="F11" s="4" t="s">
        <v>120</v>
      </c>
      <c r="G11" s="13" t="s">
        <v>113</v>
      </c>
      <c r="H11" s="4" t="s">
        <v>136</v>
      </c>
    </row>
    <row r="12" spans="1:8" ht="14.25" customHeight="1" x14ac:dyDescent="0.35">
      <c r="A12" s="13" t="s">
        <v>137</v>
      </c>
      <c r="B12" s="4" t="s">
        <v>138</v>
      </c>
      <c r="C12" s="13">
        <v>5</v>
      </c>
      <c r="D12" s="13" t="s">
        <v>110</v>
      </c>
      <c r="E12" s="13" t="s">
        <v>15</v>
      </c>
      <c r="F12" s="4" t="s">
        <v>120</v>
      </c>
      <c r="G12" s="13" t="s">
        <v>113</v>
      </c>
      <c r="H12" s="4" t="s">
        <v>139</v>
      </c>
    </row>
    <row r="13" spans="1:8" ht="14.25" customHeight="1" x14ac:dyDescent="0.35">
      <c r="A13" s="13" t="s">
        <v>140</v>
      </c>
      <c r="B13" s="4" t="s">
        <v>141</v>
      </c>
      <c r="C13" s="13">
        <v>3</v>
      </c>
      <c r="D13" s="13" t="s">
        <v>110</v>
      </c>
      <c r="E13" s="13" t="s">
        <v>15</v>
      </c>
      <c r="F13" s="4" t="s">
        <v>120</v>
      </c>
      <c r="G13" s="13" t="s">
        <v>125</v>
      </c>
      <c r="H13" s="4" t="s">
        <v>142</v>
      </c>
    </row>
    <row r="14" spans="1:8" ht="14.25" customHeight="1" x14ac:dyDescent="0.35">
      <c r="A14" s="13" t="s">
        <v>143</v>
      </c>
      <c r="B14" s="4" t="s">
        <v>144</v>
      </c>
      <c r="C14" s="13">
        <v>3</v>
      </c>
      <c r="D14" s="13" t="s">
        <v>124</v>
      </c>
      <c r="E14" s="13" t="s">
        <v>15</v>
      </c>
      <c r="F14" s="4" t="s">
        <v>120</v>
      </c>
      <c r="G14" s="13" t="s">
        <v>125</v>
      </c>
      <c r="H14" s="4" t="s">
        <v>145</v>
      </c>
    </row>
    <row r="15" spans="1:8" ht="14.25" customHeight="1" x14ac:dyDescent="0.35">
      <c r="A15" s="11" t="s">
        <v>146</v>
      </c>
      <c r="B15" s="12"/>
      <c r="C15" s="12"/>
      <c r="D15" s="12"/>
      <c r="E15" s="12"/>
      <c r="F15" s="12"/>
      <c r="G15" s="12"/>
      <c r="H15" s="12"/>
    </row>
    <row r="16" spans="1:8" ht="14.25" customHeight="1" x14ac:dyDescent="0.35">
      <c r="A16" s="13" t="s">
        <v>147</v>
      </c>
      <c r="B16" s="4" t="s">
        <v>148</v>
      </c>
      <c r="C16" s="13">
        <v>3</v>
      </c>
      <c r="D16" s="13" t="s">
        <v>110</v>
      </c>
      <c r="E16" s="13" t="s">
        <v>21</v>
      </c>
      <c r="F16" s="4" t="s">
        <v>112</v>
      </c>
      <c r="G16" s="13" t="s">
        <v>113</v>
      </c>
      <c r="H16" s="4" t="s">
        <v>149</v>
      </c>
    </row>
    <row r="17" spans="1:8" ht="14.25" customHeight="1" x14ac:dyDescent="0.35">
      <c r="A17" s="13" t="s">
        <v>150</v>
      </c>
      <c r="B17" s="4" t="s">
        <v>151</v>
      </c>
      <c r="C17" s="13">
        <v>3</v>
      </c>
      <c r="D17" s="13" t="s">
        <v>124</v>
      </c>
      <c r="E17" s="13" t="s">
        <v>21</v>
      </c>
      <c r="F17" s="4" t="s">
        <v>112</v>
      </c>
      <c r="G17" s="13" t="s">
        <v>125</v>
      </c>
      <c r="H17" s="4" t="s">
        <v>152</v>
      </c>
    </row>
    <row r="18" spans="1:8" ht="14.25" customHeight="1" x14ac:dyDescent="0.35">
      <c r="A18" s="13" t="s">
        <v>153</v>
      </c>
      <c r="B18" s="4" t="s">
        <v>154</v>
      </c>
      <c r="C18" s="13">
        <v>3</v>
      </c>
      <c r="D18" s="13" t="s">
        <v>110</v>
      </c>
      <c r="E18" s="13" t="s">
        <v>24</v>
      </c>
      <c r="F18" s="4" t="s">
        <v>112</v>
      </c>
      <c r="G18" s="13" t="s">
        <v>113</v>
      </c>
      <c r="H18" s="4" t="s">
        <v>155</v>
      </c>
    </row>
    <row r="19" spans="1:8" ht="14.25" customHeight="1" x14ac:dyDescent="0.35">
      <c r="A19" s="13" t="s">
        <v>156</v>
      </c>
      <c r="B19" s="4" t="s">
        <v>157</v>
      </c>
      <c r="C19" s="13">
        <v>5</v>
      </c>
      <c r="D19" s="13" t="s">
        <v>110</v>
      </c>
      <c r="E19" s="13" t="s">
        <v>24</v>
      </c>
      <c r="F19" s="4" t="s">
        <v>112</v>
      </c>
      <c r="G19" s="13" t="s">
        <v>113</v>
      </c>
      <c r="H19" s="4" t="s">
        <v>158</v>
      </c>
    </row>
    <row r="20" spans="1:8" ht="14.25" customHeight="1" x14ac:dyDescent="0.35">
      <c r="A20" s="13" t="s">
        <v>159</v>
      </c>
      <c r="B20" s="4" t="s">
        <v>160</v>
      </c>
      <c r="C20" s="13">
        <v>2</v>
      </c>
      <c r="D20" s="13" t="s">
        <v>124</v>
      </c>
      <c r="E20" s="13" t="s">
        <v>63</v>
      </c>
      <c r="F20" s="4" t="s">
        <v>161</v>
      </c>
      <c r="G20" s="13" t="s">
        <v>125</v>
      </c>
      <c r="H20" s="4" t="s">
        <v>162</v>
      </c>
    </row>
    <row r="21" spans="1:8" ht="14.25" customHeight="1" x14ac:dyDescent="0.35">
      <c r="A21" s="11" t="s">
        <v>163</v>
      </c>
      <c r="B21" s="12"/>
      <c r="C21" s="12"/>
      <c r="D21" s="12"/>
      <c r="E21" s="12"/>
      <c r="F21" s="12"/>
      <c r="G21" s="12"/>
      <c r="H21" s="12"/>
    </row>
    <row r="22" spans="1:8" ht="14.25" customHeight="1" x14ac:dyDescent="0.35">
      <c r="A22" s="13" t="s">
        <v>164</v>
      </c>
      <c r="B22" s="4" t="s">
        <v>165</v>
      </c>
      <c r="C22" s="13">
        <v>5</v>
      </c>
      <c r="D22" s="13" t="s">
        <v>110</v>
      </c>
      <c r="E22" s="13" t="s">
        <v>18</v>
      </c>
      <c r="F22" s="4" t="s">
        <v>120</v>
      </c>
      <c r="G22" s="13" t="s">
        <v>125</v>
      </c>
      <c r="H22" s="4" t="s">
        <v>166</v>
      </c>
    </row>
    <row r="23" spans="1:8" ht="14.25" customHeight="1" x14ac:dyDescent="0.35">
      <c r="A23" s="13" t="s">
        <v>167</v>
      </c>
      <c r="B23" s="4" t="s">
        <v>168</v>
      </c>
      <c r="C23" s="13">
        <v>2</v>
      </c>
      <c r="D23" s="13" t="s">
        <v>110</v>
      </c>
      <c r="E23" s="13" t="s">
        <v>18</v>
      </c>
      <c r="F23" s="4" t="s">
        <v>120</v>
      </c>
      <c r="G23" s="13" t="s">
        <v>125</v>
      </c>
      <c r="H23" s="4" t="s">
        <v>169</v>
      </c>
    </row>
    <row r="24" spans="1:8" ht="14.25" customHeight="1" x14ac:dyDescent="0.35">
      <c r="A24" s="13" t="s">
        <v>170</v>
      </c>
      <c r="B24" s="4" t="s">
        <v>171</v>
      </c>
      <c r="C24" s="13">
        <v>5</v>
      </c>
      <c r="D24" s="13" t="s">
        <v>110</v>
      </c>
      <c r="E24" s="13" t="s">
        <v>27</v>
      </c>
      <c r="F24" s="4" t="s">
        <v>120</v>
      </c>
      <c r="G24" s="13" t="s">
        <v>125</v>
      </c>
      <c r="H24" s="4" t="s">
        <v>172</v>
      </c>
    </row>
    <row r="25" spans="1:8" ht="14.25" customHeight="1" x14ac:dyDescent="0.35">
      <c r="A25" s="11" t="s">
        <v>173</v>
      </c>
      <c r="B25" s="12"/>
      <c r="C25" s="12"/>
      <c r="D25" s="12"/>
      <c r="E25" s="12"/>
      <c r="F25" s="12"/>
      <c r="G25" s="12"/>
      <c r="H25" s="12"/>
    </row>
    <row r="26" spans="1:8" ht="14.25" customHeight="1" x14ac:dyDescent="0.35">
      <c r="A26" s="13" t="s">
        <v>174</v>
      </c>
      <c r="B26" s="4" t="s">
        <v>175</v>
      </c>
      <c r="C26" s="13">
        <v>8</v>
      </c>
      <c r="D26" s="13" t="s">
        <v>110</v>
      </c>
      <c r="E26" s="13" t="s">
        <v>30</v>
      </c>
      <c r="F26" s="4" t="s">
        <v>112</v>
      </c>
      <c r="G26" s="13" t="s">
        <v>176</v>
      </c>
      <c r="H26" s="4" t="s">
        <v>177</v>
      </c>
    </row>
    <row r="27" spans="1:8" ht="14.25" customHeight="1" x14ac:dyDescent="0.35">
      <c r="A27" s="13" t="s">
        <v>178</v>
      </c>
      <c r="B27" s="4" t="s">
        <v>179</v>
      </c>
      <c r="C27" s="13">
        <v>3</v>
      </c>
      <c r="D27" s="13" t="s">
        <v>110</v>
      </c>
      <c r="E27" s="13" t="s">
        <v>30</v>
      </c>
      <c r="F27" s="4" t="s">
        <v>112</v>
      </c>
      <c r="G27" s="13" t="s">
        <v>176</v>
      </c>
      <c r="H27" s="4" t="s">
        <v>180</v>
      </c>
    </row>
    <row r="28" spans="1:8" ht="14.25" customHeight="1" x14ac:dyDescent="0.35">
      <c r="A28" s="13" t="s">
        <v>181</v>
      </c>
      <c r="B28" s="4" t="s">
        <v>182</v>
      </c>
      <c r="C28" s="13">
        <v>5</v>
      </c>
      <c r="D28" s="13" t="s">
        <v>110</v>
      </c>
      <c r="E28" s="13" t="s">
        <v>33</v>
      </c>
      <c r="F28" s="4" t="s">
        <v>112</v>
      </c>
      <c r="G28" s="13" t="s">
        <v>176</v>
      </c>
      <c r="H28" s="4" t="s">
        <v>183</v>
      </c>
    </row>
    <row r="29" spans="1:8" ht="14.25" customHeight="1" x14ac:dyDescent="0.35">
      <c r="A29" s="13" t="s">
        <v>184</v>
      </c>
      <c r="B29" s="4" t="s">
        <v>185</v>
      </c>
      <c r="C29" s="13">
        <v>8</v>
      </c>
      <c r="D29" s="13" t="s">
        <v>110</v>
      </c>
      <c r="E29" s="13" t="s">
        <v>36</v>
      </c>
      <c r="F29" s="4" t="s">
        <v>112</v>
      </c>
      <c r="G29" s="13" t="s">
        <v>125</v>
      </c>
      <c r="H29" s="4" t="s">
        <v>186</v>
      </c>
    </row>
    <row r="30" spans="1:8" ht="14.25" customHeight="1" x14ac:dyDescent="0.35">
      <c r="A30" s="13" t="s">
        <v>187</v>
      </c>
      <c r="B30" s="4" t="s">
        <v>188</v>
      </c>
      <c r="C30" s="13">
        <v>3</v>
      </c>
      <c r="D30" s="13" t="s">
        <v>110</v>
      </c>
      <c r="E30" s="13" t="s">
        <v>39</v>
      </c>
      <c r="F30" s="4" t="s">
        <v>161</v>
      </c>
      <c r="G30" s="13" t="s">
        <v>176</v>
      </c>
      <c r="H30" s="4" t="s">
        <v>189</v>
      </c>
    </row>
    <row r="31" spans="1:8" ht="14.25" customHeight="1" x14ac:dyDescent="0.35">
      <c r="A31" s="13" t="s">
        <v>190</v>
      </c>
      <c r="B31" s="4" t="s">
        <v>191</v>
      </c>
      <c r="C31" s="13">
        <v>5</v>
      </c>
      <c r="D31" s="13" t="s">
        <v>124</v>
      </c>
      <c r="E31" s="13" t="s">
        <v>39</v>
      </c>
      <c r="F31" s="4" t="s">
        <v>120</v>
      </c>
      <c r="G31" s="13" t="s">
        <v>176</v>
      </c>
      <c r="H31" s="4" t="s">
        <v>192</v>
      </c>
    </row>
    <row r="32" spans="1:8" ht="14.25" customHeight="1" x14ac:dyDescent="0.35">
      <c r="A32" s="13" t="s">
        <v>193</v>
      </c>
      <c r="B32" s="4" t="s">
        <v>194</v>
      </c>
      <c r="C32" s="13">
        <v>3</v>
      </c>
      <c r="D32" s="13" t="s">
        <v>110</v>
      </c>
      <c r="E32" s="13" t="s">
        <v>39</v>
      </c>
      <c r="F32" s="4" t="s">
        <v>112</v>
      </c>
      <c r="G32" s="13" t="s">
        <v>176</v>
      </c>
      <c r="H32" s="4" t="s">
        <v>195</v>
      </c>
    </row>
    <row r="33" spans="1:8" ht="14.25" customHeight="1" x14ac:dyDescent="0.35">
      <c r="A33" s="11" t="s">
        <v>196</v>
      </c>
      <c r="B33" s="12"/>
      <c r="C33" s="12"/>
      <c r="D33" s="12"/>
      <c r="E33" s="12"/>
      <c r="F33" s="12"/>
      <c r="G33" s="12"/>
      <c r="H33" s="12"/>
    </row>
    <row r="34" spans="1:8" ht="14.25" customHeight="1" x14ac:dyDescent="0.35">
      <c r="A34" s="13" t="s">
        <v>197</v>
      </c>
      <c r="B34" s="4" t="s">
        <v>198</v>
      </c>
      <c r="C34" s="13">
        <v>5</v>
      </c>
      <c r="D34" s="13" t="s">
        <v>110</v>
      </c>
      <c r="E34" s="13" t="s">
        <v>42</v>
      </c>
      <c r="F34" s="4" t="s">
        <v>112</v>
      </c>
      <c r="G34" s="13" t="s">
        <v>176</v>
      </c>
      <c r="H34" s="4" t="s">
        <v>199</v>
      </c>
    </row>
    <row r="35" spans="1:8" ht="14.25" customHeight="1" x14ac:dyDescent="0.35">
      <c r="A35" s="13" t="s">
        <v>200</v>
      </c>
      <c r="B35" s="4" t="s">
        <v>201</v>
      </c>
      <c r="C35" s="13">
        <v>2</v>
      </c>
      <c r="D35" s="13" t="s">
        <v>110</v>
      </c>
      <c r="E35" s="13" t="s">
        <v>42</v>
      </c>
      <c r="F35" s="4" t="s">
        <v>112</v>
      </c>
      <c r="G35" s="13" t="s">
        <v>176</v>
      </c>
      <c r="H35" s="4" t="s">
        <v>202</v>
      </c>
    </row>
    <row r="36" spans="1:8" ht="14.25" customHeight="1" x14ac:dyDescent="0.35">
      <c r="A36" s="13" t="s">
        <v>203</v>
      </c>
      <c r="B36" s="4" t="s">
        <v>204</v>
      </c>
      <c r="C36" s="13">
        <v>2</v>
      </c>
      <c r="D36" s="13" t="s">
        <v>110</v>
      </c>
      <c r="E36" s="13" t="s">
        <v>45</v>
      </c>
      <c r="F36" s="4" t="s">
        <v>112</v>
      </c>
      <c r="G36" s="13" t="s">
        <v>205</v>
      </c>
      <c r="H36" s="4"/>
    </row>
    <row r="37" spans="1:8" ht="14.25" customHeight="1" x14ac:dyDescent="0.35">
      <c r="A37" s="13" t="s">
        <v>206</v>
      </c>
      <c r="B37" s="4" t="s">
        <v>207</v>
      </c>
      <c r="C37" s="13">
        <v>5</v>
      </c>
      <c r="D37" s="13" t="s">
        <v>124</v>
      </c>
      <c r="E37" s="13" t="s">
        <v>45</v>
      </c>
      <c r="F37" s="4" t="s">
        <v>112</v>
      </c>
      <c r="G37" s="13" t="s">
        <v>205</v>
      </c>
      <c r="H37" s="4" t="s">
        <v>208</v>
      </c>
    </row>
    <row r="38" spans="1:8" ht="14.25" customHeight="1" x14ac:dyDescent="0.35">
      <c r="A38" s="11" t="s">
        <v>209</v>
      </c>
      <c r="B38" s="12"/>
      <c r="C38" s="12"/>
      <c r="D38" s="12"/>
      <c r="E38" s="12"/>
      <c r="F38" s="12"/>
      <c r="G38" s="12"/>
      <c r="H38" s="12"/>
    </row>
    <row r="39" spans="1:8" ht="14.25" customHeight="1" x14ac:dyDescent="0.35">
      <c r="A39" s="13" t="s">
        <v>210</v>
      </c>
      <c r="B39" s="4" t="s">
        <v>211</v>
      </c>
      <c r="C39" s="13">
        <v>5</v>
      </c>
      <c r="D39" s="13" t="s">
        <v>110</v>
      </c>
      <c r="E39" s="13" t="s">
        <v>48</v>
      </c>
      <c r="F39" s="4" t="s">
        <v>112</v>
      </c>
      <c r="G39" s="13" t="s">
        <v>205</v>
      </c>
      <c r="H39" s="4" t="s">
        <v>212</v>
      </c>
    </row>
    <row r="40" spans="1:8" ht="14.25" customHeight="1" x14ac:dyDescent="0.35">
      <c r="A40" s="13" t="s">
        <v>213</v>
      </c>
      <c r="B40" s="4" t="s">
        <v>214</v>
      </c>
      <c r="C40" s="13">
        <v>2</v>
      </c>
      <c r="D40" s="13" t="s">
        <v>124</v>
      </c>
      <c r="E40" s="13" t="s">
        <v>51</v>
      </c>
      <c r="F40" s="4" t="s">
        <v>112</v>
      </c>
      <c r="G40" s="13" t="s">
        <v>205</v>
      </c>
      <c r="H40" s="4"/>
    </row>
    <row r="41" spans="1:8" ht="14.25" customHeight="1" x14ac:dyDescent="0.35">
      <c r="A41" s="13" t="s">
        <v>215</v>
      </c>
      <c r="B41" s="4" t="s">
        <v>216</v>
      </c>
      <c r="C41" s="13">
        <v>3</v>
      </c>
      <c r="D41" s="13" t="s">
        <v>110</v>
      </c>
      <c r="E41" s="13" t="s">
        <v>51</v>
      </c>
      <c r="F41" s="4" t="s">
        <v>120</v>
      </c>
      <c r="G41" s="13" t="s">
        <v>205</v>
      </c>
      <c r="H41" s="4"/>
    </row>
    <row r="42" spans="1:8" ht="14.25" customHeight="1" x14ac:dyDescent="0.35">
      <c r="A42" s="11" t="s">
        <v>217</v>
      </c>
      <c r="B42" s="12"/>
      <c r="C42" s="12"/>
      <c r="D42" s="12"/>
      <c r="E42" s="12"/>
      <c r="F42" s="12"/>
      <c r="G42" s="12"/>
      <c r="H42" s="12"/>
    </row>
    <row r="43" spans="1:8" ht="14.25" customHeight="1" x14ac:dyDescent="0.35">
      <c r="A43" s="13" t="s">
        <v>218</v>
      </c>
      <c r="B43" s="4" t="s">
        <v>219</v>
      </c>
      <c r="C43" s="13">
        <v>3</v>
      </c>
      <c r="D43" s="13" t="s">
        <v>110</v>
      </c>
      <c r="E43" s="13" t="s">
        <v>54</v>
      </c>
      <c r="F43" s="4" t="s">
        <v>120</v>
      </c>
      <c r="G43" s="13" t="s">
        <v>205</v>
      </c>
      <c r="H43" s="4" t="s">
        <v>220</v>
      </c>
    </row>
    <row r="44" spans="1:8" ht="14.25" customHeight="1" x14ac:dyDescent="0.35">
      <c r="A44" s="13" t="s">
        <v>221</v>
      </c>
      <c r="B44" s="4" t="s">
        <v>222</v>
      </c>
      <c r="C44" s="13">
        <v>2</v>
      </c>
      <c r="D44" s="13" t="s">
        <v>110</v>
      </c>
      <c r="E44" s="13" t="s">
        <v>54</v>
      </c>
      <c r="F44" s="4" t="s">
        <v>120</v>
      </c>
      <c r="G44" s="13" t="s">
        <v>205</v>
      </c>
      <c r="H44" s="4" t="s">
        <v>223</v>
      </c>
    </row>
    <row r="45" spans="1:8" ht="14.25" customHeight="1" x14ac:dyDescent="0.35">
      <c r="A45" s="11" t="s">
        <v>224</v>
      </c>
      <c r="B45" s="12"/>
      <c r="C45" s="12"/>
      <c r="D45" s="12"/>
      <c r="E45" s="12"/>
      <c r="F45" s="12"/>
      <c r="G45" s="12"/>
      <c r="H45" s="12"/>
    </row>
    <row r="46" spans="1:8" ht="14.25" customHeight="1" x14ac:dyDescent="0.35">
      <c r="A46" s="13" t="s">
        <v>225</v>
      </c>
      <c r="B46" s="4" t="s">
        <v>226</v>
      </c>
      <c r="C46" s="13">
        <v>5</v>
      </c>
      <c r="D46" s="13" t="s">
        <v>110</v>
      </c>
      <c r="E46" s="13" t="s">
        <v>57</v>
      </c>
      <c r="F46" s="4" t="s">
        <v>120</v>
      </c>
      <c r="G46" s="13" t="s">
        <v>227</v>
      </c>
      <c r="H46" s="4" t="s">
        <v>228</v>
      </c>
    </row>
    <row r="47" spans="1:8" ht="14.25" customHeight="1" x14ac:dyDescent="0.35">
      <c r="A47" s="13" t="s">
        <v>229</v>
      </c>
      <c r="B47" s="4" t="s">
        <v>230</v>
      </c>
      <c r="C47" s="13">
        <v>5</v>
      </c>
      <c r="D47" s="13" t="s">
        <v>110</v>
      </c>
      <c r="E47" s="13" t="s">
        <v>60</v>
      </c>
      <c r="F47" s="4" t="s">
        <v>120</v>
      </c>
      <c r="G47" s="13" t="s">
        <v>227</v>
      </c>
      <c r="H47" s="4" t="s">
        <v>231</v>
      </c>
    </row>
    <row r="48" spans="1:8" ht="14.25" customHeight="1" x14ac:dyDescent="0.35">
      <c r="A48" s="13" t="s">
        <v>232</v>
      </c>
      <c r="B48" s="4" t="s">
        <v>233</v>
      </c>
      <c r="C48" s="13">
        <v>5</v>
      </c>
      <c r="D48" s="13" t="s">
        <v>110</v>
      </c>
      <c r="E48" s="13" t="s">
        <v>63</v>
      </c>
      <c r="F48" s="4" t="s">
        <v>120</v>
      </c>
      <c r="G48" s="13" t="s">
        <v>227</v>
      </c>
      <c r="H48" s="4"/>
    </row>
    <row r="49" spans="1:8" ht="14.25" customHeight="1" x14ac:dyDescent="0.35">
      <c r="A49" s="11" t="s">
        <v>234</v>
      </c>
      <c r="B49" s="12"/>
      <c r="C49" s="12"/>
      <c r="D49" s="12"/>
      <c r="E49" s="12"/>
      <c r="F49" s="12"/>
      <c r="G49" s="12"/>
      <c r="H49" s="12"/>
    </row>
    <row r="50" spans="1:8" ht="14.25" customHeight="1" x14ac:dyDescent="0.35">
      <c r="A50" s="13" t="s">
        <v>235</v>
      </c>
      <c r="B50" s="4" t="s">
        <v>236</v>
      </c>
      <c r="C50" s="13">
        <v>3</v>
      </c>
      <c r="D50" s="13" t="s">
        <v>110</v>
      </c>
      <c r="E50" s="13" t="s">
        <v>111</v>
      </c>
      <c r="F50" s="4" t="s">
        <v>161</v>
      </c>
      <c r="G50" s="13" t="s">
        <v>237</v>
      </c>
      <c r="H50" s="4" t="s">
        <v>238</v>
      </c>
    </row>
    <row r="51" spans="1:8" ht="14.25" customHeight="1" x14ac:dyDescent="0.35">
      <c r="A51" s="13" t="s">
        <v>239</v>
      </c>
      <c r="B51" s="4" t="s">
        <v>240</v>
      </c>
      <c r="C51" s="13">
        <v>3</v>
      </c>
      <c r="D51" s="13" t="s">
        <v>110</v>
      </c>
      <c r="E51" s="13" t="s">
        <v>111</v>
      </c>
      <c r="F51" s="4" t="s">
        <v>161</v>
      </c>
      <c r="G51" s="13" t="s">
        <v>237</v>
      </c>
      <c r="H51" s="4" t="s">
        <v>241</v>
      </c>
    </row>
    <row r="52" spans="1:8" ht="14.25" customHeight="1" x14ac:dyDescent="0.35">
      <c r="A52" s="13" t="s">
        <v>242</v>
      </c>
      <c r="B52" s="4" t="s">
        <v>243</v>
      </c>
      <c r="C52" s="13">
        <v>3</v>
      </c>
      <c r="D52" s="13" t="s">
        <v>110</v>
      </c>
      <c r="E52" s="13" t="s">
        <v>111</v>
      </c>
      <c r="F52" s="4" t="s">
        <v>244</v>
      </c>
      <c r="G52" s="13" t="s">
        <v>237</v>
      </c>
      <c r="H52" s="4" t="s">
        <v>245</v>
      </c>
    </row>
    <row r="53" spans="1:8" ht="14.25" customHeight="1" x14ac:dyDescent="0.35">
      <c r="A53" s="13" t="s">
        <v>246</v>
      </c>
      <c r="B53" s="4" t="s">
        <v>247</v>
      </c>
      <c r="C53" s="13">
        <v>5</v>
      </c>
      <c r="D53" s="13" t="s">
        <v>248</v>
      </c>
      <c r="E53" s="13" t="s">
        <v>42</v>
      </c>
      <c r="F53" s="4" t="s">
        <v>249</v>
      </c>
      <c r="G53" s="13" t="s">
        <v>227</v>
      </c>
      <c r="H53" s="4" t="s">
        <v>250</v>
      </c>
    </row>
    <row r="54" spans="1:8" ht="14.25" customHeight="1" x14ac:dyDescent="0.35">
      <c r="A54" s="13" t="s">
        <v>251</v>
      </c>
      <c r="B54" s="4" t="s">
        <v>252</v>
      </c>
      <c r="C54" s="13">
        <v>5</v>
      </c>
      <c r="D54" s="13" t="s">
        <v>110</v>
      </c>
      <c r="E54" s="13" t="s">
        <v>111</v>
      </c>
      <c r="F54" s="4" t="s">
        <v>112</v>
      </c>
      <c r="G54" s="13" t="s">
        <v>227</v>
      </c>
      <c r="H54" s="4"/>
    </row>
    <row r="55" spans="1:8" ht="14.25" customHeight="1" x14ac:dyDescent="0.35">
      <c r="A55" s="14"/>
      <c r="B55" s="15" t="s">
        <v>253</v>
      </c>
      <c r="C55" s="16">
        <f>SUM(C3:C54)</f>
        <v>158</v>
      </c>
      <c r="D55" s="14"/>
      <c r="E55" s="14"/>
      <c r="F55" s="14"/>
      <c r="G55" s="14"/>
      <c r="H55" s="14"/>
    </row>
    <row r="56" spans="1:8" ht="14.25" customHeight="1" x14ac:dyDescent="0.35"/>
    <row r="57" spans="1:8" ht="14.25" customHeight="1" x14ac:dyDescent="0.35">
      <c r="B57" s="17" t="s">
        <v>254</v>
      </c>
    </row>
    <row r="58" spans="1:8" ht="14.25" customHeight="1" x14ac:dyDescent="0.35">
      <c r="B58" s="18" t="s">
        <v>255</v>
      </c>
      <c r="C58" s="19">
        <f>SUMIF($G$3:$G$54,"Sprint 0",$C$3:$C$54)</f>
        <v>9</v>
      </c>
    </row>
    <row r="59" spans="1:8" ht="14.25" customHeight="1" x14ac:dyDescent="0.35">
      <c r="B59" s="18" t="s">
        <v>256</v>
      </c>
      <c r="C59" s="19">
        <f>SUMIF($G$3:$G$54,"Sprint 1",$C$3:$C$54)</f>
        <v>35</v>
      </c>
    </row>
    <row r="60" spans="1:8" ht="14.25" customHeight="1" x14ac:dyDescent="0.35">
      <c r="B60" s="18" t="s">
        <v>257</v>
      </c>
      <c r="C60" s="19">
        <f>SUMIF($G$3:$G$54,"Sprint 2",$C$3:$C$54)</f>
        <v>33</v>
      </c>
    </row>
    <row r="61" spans="1:8" ht="14.25" customHeight="1" x14ac:dyDescent="0.35">
      <c r="B61" s="18" t="s">
        <v>258</v>
      </c>
      <c r="C61" s="19">
        <f>SUMIF($G$3:$G$54,"Sprint 3",$C$3:$C$54)</f>
        <v>34</v>
      </c>
    </row>
    <row r="62" spans="1:8" ht="14.25" customHeight="1" x14ac:dyDescent="0.35">
      <c r="B62" s="18" t="s">
        <v>259</v>
      </c>
      <c r="C62" s="19">
        <f>SUMIF($G$3:$G$54,"Sprint 4",$C$3:$C$54)</f>
        <v>22</v>
      </c>
    </row>
    <row r="63" spans="1:8" ht="14.25" customHeight="1" x14ac:dyDescent="0.35">
      <c r="B63" s="18" t="s">
        <v>260</v>
      </c>
      <c r="C63" s="19">
        <f>SUMIF($G$3:$G$54,"Sprint 5",$C$3:$C$54)</f>
        <v>25</v>
      </c>
    </row>
    <row r="64" spans="1:8" ht="14.25" customHeight="1" x14ac:dyDescent="0.35"/>
    <row r="65" spans="2:2" ht="14.25" customHeight="1" x14ac:dyDescent="0.35">
      <c r="B65" s="10" t="s">
        <v>261</v>
      </c>
    </row>
    <row r="66" spans="2:2" ht="14.25" customHeight="1" x14ac:dyDescent="0.35"/>
    <row r="67" spans="2:2" ht="14.25" customHeight="1" x14ac:dyDescent="0.35"/>
    <row r="68" spans="2:2" ht="14.25" customHeight="1" x14ac:dyDescent="0.35"/>
    <row r="69" spans="2:2" ht="14.25" customHeight="1" x14ac:dyDescent="0.35"/>
    <row r="70" spans="2:2" ht="14.25" customHeight="1" x14ac:dyDescent="0.35"/>
    <row r="71" spans="2:2" ht="14.25" customHeight="1" x14ac:dyDescent="0.35"/>
    <row r="72" spans="2:2" ht="14.25" customHeight="1" x14ac:dyDescent="0.35"/>
    <row r="73" spans="2:2" ht="14.25" customHeight="1" x14ac:dyDescent="0.35"/>
    <row r="74" spans="2:2" ht="14.25" customHeight="1" x14ac:dyDescent="0.35"/>
    <row r="75" spans="2:2" ht="14.25" customHeight="1" x14ac:dyDescent="0.35"/>
    <row r="76" spans="2:2" ht="14.25" customHeight="1" x14ac:dyDescent="0.35"/>
    <row r="77" spans="2:2" ht="14.25" customHeight="1" x14ac:dyDescent="0.35"/>
    <row r="78" spans="2:2" ht="14.25" customHeight="1" x14ac:dyDescent="0.35"/>
    <row r="79" spans="2:2" ht="14.25" customHeight="1" x14ac:dyDescent="0.35"/>
    <row r="80" spans="2:2"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
    <mergeCell ref="A1:H1"/>
  </mergeCell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0"/>
  <sheetViews>
    <sheetView tabSelected="1" workbookViewId="0">
      <pane ySplit="2" topLeftCell="A3" activePane="bottomLeft" state="frozen"/>
      <selection pane="bottomLeft" activeCell="A10" sqref="A10:B19"/>
    </sheetView>
  </sheetViews>
  <sheetFormatPr defaultColWidth="14.453125" defaultRowHeight="15" customHeight="1" x14ac:dyDescent="0.35"/>
  <cols>
    <col min="1" max="1" width="10" customWidth="1"/>
    <col min="2" max="2" width="55" customWidth="1"/>
    <col min="3" max="3" width="8" customWidth="1"/>
    <col min="4" max="4" width="18" customWidth="1"/>
    <col min="5" max="6" width="12" customWidth="1"/>
    <col min="7" max="7" width="14" customWidth="1"/>
    <col min="8" max="8" width="12" customWidth="1"/>
    <col min="9" max="9" width="10" customWidth="1"/>
    <col min="10" max="10" width="55" customWidth="1"/>
    <col min="11" max="26" width="8.7265625" customWidth="1"/>
  </cols>
  <sheetData>
    <row r="1" spans="1:10" ht="14.25" customHeight="1" x14ac:dyDescent="0.4">
      <c r="A1" s="26" t="s">
        <v>262</v>
      </c>
      <c r="B1" s="27"/>
      <c r="C1" s="27"/>
      <c r="D1" s="27"/>
      <c r="E1" s="27"/>
      <c r="F1" s="27"/>
      <c r="G1" s="27"/>
      <c r="H1" s="27"/>
      <c r="I1" s="27"/>
      <c r="J1" s="27"/>
    </row>
    <row r="2" spans="1:10" ht="14.25" customHeight="1" x14ac:dyDescent="0.35">
      <c r="A2" s="2" t="s">
        <v>99</v>
      </c>
      <c r="B2" s="2" t="s">
        <v>100</v>
      </c>
      <c r="C2" s="2" t="s">
        <v>101</v>
      </c>
      <c r="D2" s="2" t="s">
        <v>263</v>
      </c>
      <c r="E2" s="2" t="s">
        <v>264</v>
      </c>
      <c r="F2" s="2" t="s">
        <v>265</v>
      </c>
      <c r="G2" s="2" t="s">
        <v>266</v>
      </c>
      <c r="H2" s="2" t="s">
        <v>267</v>
      </c>
      <c r="I2" s="2" t="s">
        <v>268</v>
      </c>
      <c r="J2" s="2" t="s">
        <v>269</v>
      </c>
    </row>
    <row r="3" spans="1:10" ht="14.25" customHeight="1" x14ac:dyDescent="0.35">
      <c r="A3" s="20" t="s">
        <v>270</v>
      </c>
      <c r="B3" s="21"/>
      <c r="C3" s="21"/>
      <c r="D3" s="21"/>
      <c r="E3" s="21"/>
      <c r="F3" s="21"/>
      <c r="G3" s="21"/>
      <c r="H3" s="21"/>
      <c r="I3" s="21"/>
      <c r="J3" s="21"/>
    </row>
    <row r="4" spans="1:10" ht="14.25" customHeight="1" x14ac:dyDescent="0.35">
      <c r="A4" s="13" t="s">
        <v>235</v>
      </c>
      <c r="B4" s="4" t="s">
        <v>236</v>
      </c>
      <c r="C4" s="13">
        <v>3</v>
      </c>
      <c r="D4" s="4" t="s">
        <v>324</v>
      </c>
      <c r="E4" s="22" t="s">
        <v>271</v>
      </c>
      <c r="F4" s="22" t="s">
        <v>271</v>
      </c>
      <c r="G4" s="7">
        <v>46295</v>
      </c>
      <c r="H4" s="7">
        <v>46295</v>
      </c>
      <c r="I4" s="13">
        <v>3</v>
      </c>
      <c r="J4" s="4" t="s">
        <v>272</v>
      </c>
    </row>
    <row r="5" spans="1:10" ht="14.25" customHeight="1" x14ac:dyDescent="0.35">
      <c r="A5" s="13" t="s">
        <v>239</v>
      </c>
      <c r="B5" s="4" t="s">
        <v>240</v>
      </c>
      <c r="C5" s="13">
        <v>3</v>
      </c>
      <c r="D5" s="4" t="s">
        <v>324</v>
      </c>
      <c r="E5" s="22" t="s">
        <v>271</v>
      </c>
      <c r="F5" s="22" t="s">
        <v>271</v>
      </c>
      <c r="G5" s="23"/>
      <c r="H5" s="23"/>
      <c r="I5" s="24"/>
      <c r="J5" s="4" t="s">
        <v>273</v>
      </c>
    </row>
    <row r="6" spans="1:10" ht="14.25" customHeight="1" x14ac:dyDescent="0.35">
      <c r="A6" s="13" t="s">
        <v>242</v>
      </c>
      <c r="B6" s="4" t="s">
        <v>243</v>
      </c>
      <c r="C6" s="13">
        <v>3</v>
      </c>
      <c r="D6" s="4" t="s">
        <v>324</v>
      </c>
      <c r="E6" s="22" t="s">
        <v>271</v>
      </c>
      <c r="F6" s="22" t="s">
        <v>271</v>
      </c>
      <c r="G6" s="23"/>
      <c r="H6" s="23"/>
      <c r="I6" s="24"/>
      <c r="J6" s="4" t="s">
        <v>274</v>
      </c>
    </row>
    <row r="7" spans="1:10" ht="14.25" customHeight="1" x14ac:dyDescent="0.35">
      <c r="A7" s="14"/>
      <c r="B7" s="15" t="s">
        <v>275</v>
      </c>
      <c r="C7" s="16">
        <f>SUM(C4:C6)</f>
        <v>9</v>
      </c>
      <c r="D7" s="14"/>
      <c r="E7" s="14"/>
      <c r="F7" s="14"/>
      <c r="G7" s="14"/>
      <c r="H7" s="14"/>
      <c r="I7" s="16">
        <f>SUM(I4:I6)</f>
        <v>3</v>
      </c>
      <c r="J7" s="14"/>
    </row>
    <row r="8" spans="1:10" ht="14.25" customHeight="1" x14ac:dyDescent="0.35"/>
    <row r="9" spans="1:10" ht="14.25" customHeight="1" x14ac:dyDescent="0.35">
      <c r="A9" s="20" t="s">
        <v>276</v>
      </c>
      <c r="B9" s="21"/>
      <c r="C9" s="21"/>
      <c r="D9" s="21"/>
      <c r="E9" s="21"/>
      <c r="F9" s="21"/>
      <c r="G9" s="21"/>
      <c r="H9" s="21"/>
      <c r="I9" s="21"/>
      <c r="J9" s="21"/>
    </row>
    <row r="10" spans="1:10" ht="14.25" customHeight="1" x14ac:dyDescent="0.35">
      <c r="A10" s="13" t="s">
        <v>108</v>
      </c>
      <c r="B10" s="4" t="s">
        <v>109</v>
      </c>
      <c r="C10" s="13">
        <v>3</v>
      </c>
      <c r="D10" s="4" t="s">
        <v>324</v>
      </c>
      <c r="E10" s="7">
        <v>46272</v>
      </c>
      <c r="F10" s="7">
        <v>46272</v>
      </c>
      <c r="G10" s="23"/>
      <c r="H10" s="23"/>
      <c r="I10" s="24"/>
      <c r="J10" s="4" t="s">
        <v>277</v>
      </c>
    </row>
    <row r="11" spans="1:10" ht="14.25" customHeight="1" x14ac:dyDescent="0.35">
      <c r="A11" s="13" t="s">
        <v>115</v>
      </c>
      <c r="B11" s="4" t="s">
        <v>116</v>
      </c>
      <c r="C11" s="13">
        <v>3</v>
      </c>
      <c r="D11" s="4" t="s">
        <v>324</v>
      </c>
      <c r="E11" s="7">
        <v>46272</v>
      </c>
      <c r="F11" s="7">
        <v>46273</v>
      </c>
      <c r="G11" s="23"/>
      <c r="H11" s="23"/>
      <c r="I11" s="24"/>
      <c r="J11" s="4" t="s">
        <v>278</v>
      </c>
    </row>
    <row r="12" spans="1:10" ht="14.25" customHeight="1" x14ac:dyDescent="0.35">
      <c r="A12" s="13" t="s">
        <v>118</v>
      </c>
      <c r="B12" s="4" t="s">
        <v>119</v>
      </c>
      <c r="C12" s="13">
        <v>5</v>
      </c>
      <c r="D12" s="4" t="s">
        <v>324</v>
      </c>
      <c r="E12" s="7">
        <v>46273</v>
      </c>
      <c r="F12" s="7">
        <v>46275</v>
      </c>
      <c r="G12" s="23"/>
      <c r="H12" s="23"/>
      <c r="I12" s="24"/>
      <c r="J12" s="4" t="s">
        <v>279</v>
      </c>
    </row>
    <row r="13" spans="1:10" ht="14.25" customHeight="1" x14ac:dyDescent="0.35">
      <c r="A13" s="13" t="s">
        <v>128</v>
      </c>
      <c r="B13" s="4" t="s">
        <v>129</v>
      </c>
      <c r="C13" s="13">
        <v>2</v>
      </c>
      <c r="D13" s="4" t="s">
        <v>324</v>
      </c>
      <c r="E13" s="7">
        <v>46275</v>
      </c>
      <c r="F13" s="7">
        <v>46275</v>
      </c>
      <c r="G13" s="23"/>
      <c r="H13" s="23"/>
      <c r="I13" s="24"/>
      <c r="J13" s="4" t="s">
        <v>280</v>
      </c>
    </row>
    <row r="14" spans="1:10" ht="14.25" customHeight="1" x14ac:dyDescent="0.35">
      <c r="A14" s="13" t="s">
        <v>131</v>
      </c>
      <c r="B14" s="4" t="s">
        <v>132</v>
      </c>
      <c r="C14" s="13">
        <v>5</v>
      </c>
      <c r="D14" s="4" t="s">
        <v>324</v>
      </c>
      <c r="E14" s="7">
        <v>46275</v>
      </c>
      <c r="F14" s="7">
        <v>46279</v>
      </c>
      <c r="G14" s="23"/>
      <c r="H14" s="23"/>
      <c r="I14" s="24"/>
      <c r="J14" s="4" t="s">
        <v>281</v>
      </c>
    </row>
    <row r="15" spans="1:10" ht="14.25" customHeight="1" x14ac:dyDescent="0.35">
      <c r="A15" s="13" t="s">
        <v>134</v>
      </c>
      <c r="B15" s="4" t="s">
        <v>135</v>
      </c>
      <c r="C15" s="13">
        <v>1</v>
      </c>
      <c r="D15" s="4" t="s">
        <v>324</v>
      </c>
      <c r="E15" s="7">
        <v>46279</v>
      </c>
      <c r="F15" s="7">
        <v>46279</v>
      </c>
      <c r="G15" s="23"/>
      <c r="H15" s="23"/>
      <c r="I15" s="24"/>
      <c r="J15" s="4" t="s">
        <v>282</v>
      </c>
    </row>
    <row r="16" spans="1:10" ht="14.25" customHeight="1" x14ac:dyDescent="0.35">
      <c r="A16" s="13" t="s">
        <v>137</v>
      </c>
      <c r="B16" s="4" t="s">
        <v>138</v>
      </c>
      <c r="C16" s="13">
        <v>5</v>
      </c>
      <c r="D16" s="4" t="s">
        <v>324</v>
      </c>
      <c r="E16" s="7">
        <v>46279</v>
      </c>
      <c r="F16" s="7">
        <v>46280</v>
      </c>
      <c r="G16" s="23"/>
      <c r="H16" s="23"/>
      <c r="I16" s="24"/>
      <c r="J16" s="4" t="s">
        <v>283</v>
      </c>
    </row>
    <row r="17" spans="1:10" ht="14.25" customHeight="1" x14ac:dyDescent="0.35">
      <c r="A17" s="13" t="s">
        <v>147</v>
      </c>
      <c r="B17" s="4" t="s">
        <v>148</v>
      </c>
      <c r="C17" s="13">
        <v>3</v>
      </c>
      <c r="D17" s="4" t="s">
        <v>324</v>
      </c>
      <c r="E17" s="7">
        <v>46280</v>
      </c>
      <c r="F17" s="7">
        <v>46281</v>
      </c>
      <c r="G17" s="23"/>
      <c r="H17" s="23"/>
      <c r="I17" s="24"/>
      <c r="J17" s="4" t="s">
        <v>284</v>
      </c>
    </row>
    <row r="18" spans="1:10" ht="14.25" customHeight="1" x14ac:dyDescent="0.35">
      <c r="A18" s="13" t="s">
        <v>153</v>
      </c>
      <c r="B18" s="4" t="s">
        <v>154</v>
      </c>
      <c r="C18" s="13">
        <v>3</v>
      </c>
      <c r="D18" s="4" t="s">
        <v>324</v>
      </c>
      <c r="E18" s="7">
        <v>46281</v>
      </c>
      <c r="F18" s="7">
        <v>46282</v>
      </c>
      <c r="G18" s="23"/>
      <c r="H18" s="23"/>
      <c r="I18" s="24"/>
      <c r="J18" s="4" t="s">
        <v>285</v>
      </c>
    </row>
    <row r="19" spans="1:10" ht="14.25" customHeight="1" x14ac:dyDescent="0.35">
      <c r="A19" s="13" t="s">
        <v>156</v>
      </c>
      <c r="B19" s="4" t="s">
        <v>157</v>
      </c>
      <c r="C19" s="13">
        <v>5</v>
      </c>
      <c r="D19" s="4" t="s">
        <v>324</v>
      </c>
      <c r="E19" s="7">
        <v>46282</v>
      </c>
      <c r="F19" s="7">
        <v>46283</v>
      </c>
      <c r="G19" s="23"/>
      <c r="H19" s="23"/>
      <c r="I19" s="24"/>
      <c r="J19" s="4" t="s">
        <v>286</v>
      </c>
    </row>
    <row r="20" spans="1:10" ht="14.25" customHeight="1" x14ac:dyDescent="0.35">
      <c r="A20" s="14"/>
      <c r="B20" s="15" t="s">
        <v>287</v>
      </c>
      <c r="C20" s="16">
        <f>SUM(C10:C19)</f>
        <v>35</v>
      </c>
      <c r="D20" s="14"/>
      <c r="E20" s="14"/>
      <c r="F20" s="14"/>
      <c r="G20" s="14"/>
      <c r="H20" s="14"/>
      <c r="I20" s="16">
        <f>SUM(I10:I19)</f>
        <v>0</v>
      </c>
      <c r="J20" s="14"/>
    </row>
    <row r="21" spans="1:10" ht="14.25" customHeight="1" x14ac:dyDescent="0.35"/>
    <row r="22" spans="1:10" ht="14.25" customHeight="1" x14ac:dyDescent="0.35">
      <c r="A22" s="20" t="s">
        <v>288</v>
      </c>
      <c r="B22" s="21"/>
      <c r="C22" s="21"/>
      <c r="D22" s="21"/>
      <c r="E22" s="21"/>
      <c r="F22" s="21"/>
      <c r="G22" s="21"/>
      <c r="H22" s="21"/>
      <c r="I22" s="21"/>
      <c r="J22" s="21"/>
    </row>
    <row r="23" spans="1:10" ht="14.25" customHeight="1" x14ac:dyDescent="0.35">
      <c r="A23" s="13" t="s">
        <v>122</v>
      </c>
      <c r="B23" s="4" t="s">
        <v>123</v>
      </c>
      <c r="C23" s="13">
        <v>2</v>
      </c>
      <c r="D23" s="4" t="s">
        <v>324</v>
      </c>
      <c r="E23" s="7">
        <v>46286</v>
      </c>
      <c r="F23" s="7">
        <v>46286</v>
      </c>
      <c r="G23" s="23"/>
      <c r="H23" s="23"/>
      <c r="I23" s="24"/>
      <c r="J23" s="4" t="s">
        <v>289</v>
      </c>
    </row>
    <row r="24" spans="1:10" ht="14.25" customHeight="1" x14ac:dyDescent="0.35">
      <c r="A24" s="13" t="s">
        <v>140</v>
      </c>
      <c r="B24" s="4" t="s">
        <v>141</v>
      </c>
      <c r="C24" s="13">
        <v>3</v>
      </c>
      <c r="D24" s="4" t="s">
        <v>324</v>
      </c>
      <c r="E24" s="7">
        <v>46286</v>
      </c>
      <c r="F24" s="7">
        <v>46287</v>
      </c>
      <c r="G24" s="23"/>
      <c r="H24" s="23"/>
      <c r="I24" s="24"/>
      <c r="J24" s="4" t="s">
        <v>290</v>
      </c>
    </row>
    <row r="25" spans="1:10" ht="14.25" customHeight="1" x14ac:dyDescent="0.35">
      <c r="A25" s="13" t="s">
        <v>143</v>
      </c>
      <c r="B25" s="4" t="s">
        <v>144</v>
      </c>
      <c r="C25" s="13">
        <v>3</v>
      </c>
      <c r="D25" s="4" t="s">
        <v>324</v>
      </c>
      <c r="E25" s="7">
        <v>46287</v>
      </c>
      <c r="F25" s="7">
        <v>46288</v>
      </c>
      <c r="G25" s="23"/>
      <c r="H25" s="23"/>
      <c r="I25" s="24"/>
      <c r="J25" s="4" t="s">
        <v>291</v>
      </c>
    </row>
    <row r="26" spans="1:10" ht="14.25" customHeight="1" x14ac:dyDescent="0.35">
      <c r="A26" s="13" t="s">
        <v>150</v>
      </c>
      <c r="B26" s="4" t="s">
        <v>151</v>
      </c>
      <c r="C26" s="13">
        <v>3</v>
      </c>
      <c r="D26" s="4" t="s">
        <v>324</v>
      </c>
      <c r="E26" s="7">
        <v>46288</v>
      </c>
      <c r="F26" s="7">
        <v>46289</v>
      </c>
      <c r="G26" s="23"/>
      <c r="H26" s="23"/>
      <c r="I26" s="24"/>
      <c r="J26" s="4" t="s">
        <v>292</v>
      </c>
    </row>
    <row r="27" spans="1:10" ht="14.25" customHeight="1" x14ac:dyDescent="0.35">
      <c r="A27" s="13" t="s">
        <v>159</v>
      </c>
      <c r="B27" s="4" t="s">
        <v>160</v>
      </c>
      <c r="C27" s="13">
        <v>2</v>
      </c>
      <c r="D27" s="4" t="s">
        <v>324</v>
      </c>
      <c r="E27" s="7">
        <v>46289</v>
      </c>
      <c r="F27" s="7">
        <v>46289</v>
      </c>
      <c r="G27" s="23"/>
      <c r="H27" s="23"/>
      <c r="I27" s="24"/>
      <c r="J27" s="4" t="s">
        <v>293</v>
      </c>
    </row>
    <row r="28" spans="1:10" ht="14.25" customHeight="1" x14ac:dyDescent="0.35">
      <c r="A28" s="13" t="s">
        <v>164</v>
      </c>
      <c r="B28" s="4" t="s">
        <v>165</v>
      </c>
      <c r="C28" s="13">
        <v>5</v>
      </c>
      <c r="D28" s="4" t="s">
        <v>324</v>
      </c>
      <c r="E28" s="7">
        <v>46289</v>
      </c>
      <c r="F28" s="7">
        <v>46293</v>
      </c>
      <c r="G28" s="23"/>
      <c r="H28" s="23"/>
      <c r="I28" s="24"/>
      <c r="J28" s="4" t="s">
        <v>294</v>
      </c>
    </row>
    <row r="29" spans="1:10" ht="14.25" customHeight="1" x14ac:dyDescent="0.35">
      <c r="A29" s="13" t="s">
        <v>167</v>
      </c>
      <c r="B29" s="4" t="s">
        <v>168</v>
      </c>
      <c r="C29" s="13">
        <v>2</v>
      </c>
      <c r="D29" s="4" t="s">
        <v>324</v>
      </c>
      <c r="E29" s="7">
        <v>46293</v>
      </c>
      <c r="F29" s="7">
        <v>46294</v>
      </c>
      <c r="G29" s="23"/>
      <c r="H29" s="23"/>
      <c r="I29" s="24"/>
      <c r="J29" s="4" t="s">
        <v>295</v>
      </c>
    </row>
    <row r="30" spans="1:10" ht="14.25" customHeight="1" x14ac:dyDescent="0.35">
      <c r="A30" s="13" t="s">
        <v>170</v>
      </c>
      <c r="B30" s="4" t="s">
        <v>171</v>
      </c>
      <c r="C30" s="13">
        <v>5</v>
      </c>
      <c r="D30" s="4" t="s">
        <v>324</v>
      </c>
      <c r="E30" s="7">
        <v>46294</v>
      </c>
      <c r="F30" s="7">
        <v>46295</v>
      </c>
      <c r="G30" s="23"/>
      <c r="H30" s="23"/>
      <c r="I30" s="24"/>
      <c r="J30" s="4" t="s">
        <v>296</v>
      </c>
    </row>
    <row r="31" spans="1:10" ht="14.25" customHeight="1" x14ac:dyDescent="0.35">
      <c r="A31" s="13" t="s">
        <v>184</v>
      </c>
      <c r="B31" s="4" t="s">
        <v>185</v>
      </c>
      <c r="C31" s="13">
        <v>8</v>
      </c>
      <c r="D31" s="4" t="s">
        <v>324</v>
      </c>
      <c r="E31" s="7">
        <v>46295</v>
      </c>
      <c r="F31" s="7">
        <v>46297</v>
      </c>
      <c r="G31" s="23"/>
      <c r="H31" s="23"/>
      <c r="I31" s="24"/>
      <c r="J31" s="4" t="s">
        <v>297</v>
      </c>
    </row>
    <row r="32" spans="1:10" ht="14.25" customHeight="1" x14ac:dyDescent="0.35">
      <c r="A32" s="14"/>
      <c r="B32" s="15" t="s">
        <v>298</v>
      </c>
      <c r="C32" s="16">
        <f>SUM(C23:C31)</f>
        <v>33</v>
      </c>
      <c r="D32" s="14"/>
      <c r="E32" s="14"/>
      <c r="F32" s="14"/>
      <c r="G32" s="14"/>
      <c r="H32" s="14"/>
      <c r="I32" s="16">
        <f>SUM(I23:I31)</f>
        <v>0</v>
      </c>
      <c r="J32" s="14"/>
    </row>
    <row r="33" spans="1:10" ht="14.25" customHeight="1" x14ac:dyDescent="0.35"/>
    <row r="34" spans="1:10" ht="14.25" customHeight="1" x14ac:dyDescent="0.35">
      <c r="A34" s="20" t="s">
        <v>299</v>
      </c>
      <c r="B34" s="21"/>
      <c r="C34" s="21"/>
      <c r="D34" s="21"/>
      <c r="E34" s="21"/>
      <c r="F34" s="21"/>
      <c r="G34" s="21"/>
      <c r="H34" s="21"/>
      <c r="I34" s="21"/>
      <c r="J34" s="21"/>
    </row>
    <row r="35" spans="1:10" ht="14.25" customHeight="1" x14ac:dyDescent="0.35">
      <c r="A35" s="13" t="s">
        <v>174</v>
      </c>
      <c r="B35" s="4" t="s">
        <v>175</v>
      </c>
      <c r="C35" s="13">
        <v>8</v>
      </c>
      <c r="D35" s="6"/>
      <c r="E35" s="7">
        <v>46300</v>
      </c>
      <c r="F35" s="7">
        <v>46302</v>
      </c>
      <c r="G35" s="23"/>
      <c r="H35" s="23"/>
      <c r="I35" s="24"/>
      <c r="J35" s="4" t="s">
        <v>300</v>
      </c>
    </row>
    <row r="36" spans="1:10" ht="14.25" customHeight="1" x14ac:dyDescent="0.35">
      <c r="A36" s="13" t="s">
        <v>178</v>
      </c>
      <c r="B36" s="4" t="s">
        <v>179</v>
      </c>
      <c r="C36" s="13">
        <v>3</v>
      </c>
      <c r="D36" s="6"/>
      <c r="E36" s="7">
        <v>46302</v>
      </c>
      <c r="F36" s="7">
        <v>46303</v>
      </c>
      <c r="G36" s="23"/>
      <c r="H36" s="23"/>
      <c r="I36" s="24"/>
      <c r="J36" s="4" t="s">
        <v>301</v>
      </c>
    </row>
    <row r="37" spans="1:10" ht="14.25" customHeight="1" x14ac:dyDescent="0.35">
      <c r="A37" s="13" t="s">
        <v>181</v>
      </c>
      <c r="B37" s="4" t="s">
        <v>182</v>
      </c>
      <c r="C37" s="13">
        <v>5</v>
      </c>
      <c r="D37" s="6"/>
      <c r="E37" s="7">
        <v>46303</v>
      </c>
      <c r="F37" s="7">
        <v>46304</v>
      </c>
      <c r="G37" s="23"/>
      <c r="H37" s="23"/>
      <c r="I37" s="24"/>
      <c r="J37" s="4" t="s">
        <v>302</v>
      </c>
    </row>
    <row r="38" spans="1:10" ht="14.25" customHeight="1" x14ac:dyDescent="0.35">
      <c r="A38" s="13" t="s">
        <v>187</v>
      </c>
      <c r="B38" s="4" t="s">
        <v>188</v>
      </c>
      <c r="C38" s="13">
        <v>3</v>
      </c>
      <c r="D38" s="6"/>
      <c r="E38" s="7">
        <v>46304</v>
      </c>
      <c r="F38" s="7">
        <v>46307</v>
      </c>
      <c r="G38" s="23"/>
      <c r="H38" s="23"/>
      <c r="I38" s="24"/>
      <c r="J38" s="4" t="s">
        <v>303</v>
      </c>
    </row>
    <row r="39" spans="1:10" ht="14.25" customHeight="1" x14ac:dyDescent="0.35">
      <c r="A39" s="13" t="s">
        <v>190</v>
      </c>
      <c r="B39" s="4" t="s">
        <v>191</v>
      </c>
      <c r="C39" s="13">
        <v>5</v>
      </c>
      <c r="D39" s="6"/>
      <c r="E39" s="7">
        <v>46307</v>
      </c>
      <c r="F39" s="7">
        <v>46309</v>
      </c>
      <c r="G39" s="23"/>
      <c r="H39" s="23"/>
      <c r="I39" s="24"/>
      <c r="J39" s="4" t="s">
        <v>304</v>
      </c>
    </row>
    <row r="40" spans="1:10" ht="14.25" customHeight="1" x14ac:dyDescent="0.35">
      <c r="A40" s="13" t="s">
        <v>193</v>
      </c>
      <c r="B40" s="4" t="s">
        <v>194</v>
      </c>
      <c r="C40" s="13">
        <v>3</v>
      </c>
      <c r="D40" s="6"/>
      <c r="E40" s="7">
        <v>46309</v>
      </c>
      <c r="F40" s="7">
        <v>46309</v>
      </c>
      <c r="G40" s="23"/>
      <c r="H40" s="23"/>
      <c r="I40" s="24"/>
      <c r="J40" s="4" t="s">
        <v>305</v>
      </c>
    </row>
    <row r="41" spans="1:10" ht="14.25" customHeight="1" x14ac:dyDescent="0.35">
      <c r="A41" s="13" t="s">
        <v>197</v>
      </c>
      <c r="B41" s="4" t="s">
        <v>198</v>
      </c>
      <c r="C41" s="13">
        <v>5</v>
      </c>
      <c r="D41" s="6"/>
      <c r="E41" s="7">
        <v>46309</v>
      </c>
      <c r="F41" s="7">
        <v>46311</v>
      </c>
      <c r="G41" s="23"/>
      <c r="H41" s="23"/>
      <c r="I41" s="24"/>
      <c r="J41" s="4" t="s">
        <v>306</v>
      </c>
    </row>
    <row r="42" spans="1:10" ht="14.25" customHeight="1" x14ac:dyDescent="0.35">
      <c r="A42" s="13" t="s">
        <v>200</v>
      </c>
      <c r="B42" s="4" t="s">
        <v>201</v>
      </c>
      <c r="C42" s="13">
        <v>2</v>
      </c>
      <c r="D42" s="6"/>
      <c r="E42" s="7">
        <v>46311</v>
      </c>
      <c r="F42" s="7">
        <v>46311</v>
      </c>
      <c r="G42" s="23"/>
      <c r="H42" s="23"/>
      <c r="I42" s="24"/>
      <c r="J42" s="4" t="s">
        <v>307</v>
      </c>
    </row>
    <row r="43" spans="1:10" ht="14.25" customHeight="1" x14ac:dyDescent="0.35">
      <c r="A43" s="14"/>
      <c r="B43" s="15" t="s">
        <v>308</v>
      </c>
      <c r="C43" s="16">
        <f>SUM(C35:C42)</f>
        <v>34</v>
      </c>
      <c r="D43" s="14"/>
      <c r="E43" s="14"/>
      <c r="F43" s="14"/>
      <c r="G43" s="14"/>
      <c r="H43" s="14"/>
      <c r="I43" s="16">
        <f>SUM(I35:I42)</f>
        <v>0</v>
      </c>
      <c r="J43" s="14"/>
    </row>
    <row r="44" spans="1:10" ht="14.25" customHeight="1" x14ac:dyDescent="0.35"/>
    <row r="45" spans="1:10" ht="14.25" customHeight="1" x14ac:dyDescent="0.35">
      <c r="A45" s="20" t="s">
        <v>309</v>
      </c>
      <c r="B45" s="21"/>
      <c r="C45" s="21"/>
      <c r="D45" s="21"/>
      <c r="E45" s="21"/>
      <c r="F45" s="21"/>
      <c r="G45" s="21"/>
      <c r="H45" s="21"/>
      <c r="I45" s="21"/>
      <c r="J45" s="21"/>
    </row>
    <row r="46" spans="1:10" ht="14.25" customHeight="1" x14ac:dyDescent="0.35">
      <c r="A46" s="13" t="s">
        <v>203</v>
      </c>
      <c r="B46" s="4" t="s">
        <v>204</v>
      </c>
      <c r="C46" s="13">
        <v>2</v>
      </c>
      <c r="D46" s="6"/>
      <c r="E46" s="7">
        <v>46314</v>
      </c>
      <c r="F46" s="7">
        <v>46314</v>
      </c>
      <c r="G46" s="23"/>
      <c r="H46" s="23"/>
      <c r="I46" s="24"/>
      <c r="J46" s="4" t="s">
        <v>112</v>
      </c>
    </row>
    <row r="47" spans="1:10" ht="14.25" customHeight="1" x14ac:dyDescent="0.35">
      <c r="A47" s="13" t="s">
        <v>206</v>
      </c>
      <c r="B47" s="4" t="s">
        <v>207</v>
      </c>
      <c r="C47" s="13">
        <v>5</v>
      </c>
      <c r="D47" s="6"/>
      <c r="E47" s="7">
        <v>46314</v>
      </c>
      <c r="F47" s="7">
        <v>46317</v>
      </c>
      <c r="G47" s="23"/>
      <c r="H47" s="23"/>
      <c r="I47" s="24"/>
      <c r="J47" s="4" t="s">
        <v>310</v>
      </c>
    </row>
    <row r="48" spans="1:10" ht="14.25" customHeight="1" x14ac:dyDescent="0.35">
      <c r="A48" s="13" t="s">
        <v>210</v>
      </c>
      <c r="B48" s="4" t="s">
        <v>211</v>
      </c>
      <c r="C48" s="13">
        <v>5</v>
      </c>
      <c r="D48" s="6"/>
      <c r="E48" s="7">
        <v>46317</v>
      </c>
      <c r="F48" s="7">
        <v>46321</v>
      </c>
      <c r="G48" s="23"/>
      <c r="H48" s="23"/>
      <c r="I48" s="24"/>
      <c r="J48" s="4" t="s">
        <v>311</v>
      </c>
    </row>
    <row r="49" spans="1:10" ht="14.25" customHeight="1" x14ac:dyDescent="0.35">
      <c r="A49" s="13" t="s">
        <v>213</v>
      </c>
      <c r="B49" s="4" t="s">
        <v>214</v>
      </c>
      <c r="C49" s="13">
        <v>2</v>
      </c>
      <c r="D49" s="6"/>
      <c r="E49" s="7">
        <v>46321</v>
      </c>
      <c r="F49" s="7">
        <v>46322</v>
      </c>
      <c r="G49" s="23"/>
      <c r="H49" s="23"/>
      <c r="I49" s="24"/>
      <c r="J49" s="4" t="s">
        <v>112</v>
      </c>
    </row>
    <row r="50" spans="1:10" ht="14.25" customHeight="1" x14ac:dyDescent="0.35">
      <c r="A50" s="13" t="s">
        <v>215</v>
      </c>
      <c r="B50" s="4" t="s">
        <v>216</v>
      </c>
      <c r="C50" s="13">
        <v>3</v>
      </c>
      <c r="D50" s="6"/>
      <c r="E50" s="7">
        <v>46322</v>
      </c>
      <c r="F50" s="7">
        <v>46323</v>
      </c>
      <c r="G50" s="23"/>
      <c r="H50" s="23"/>
      <c r="I50" s="24"/>
      <c r="J50" s="4" t="s">
        <v>120</v>
      </c>
    </row>
    <row r="51" spans="1:10" ht="14.25" customHeight="1" x14ac:dyDescent="0.35">
      <c r="A51" s="13" t="s">
        <v>218</v>
      </c>
      <c r="B51" s="4" t="s">
        <v>219</v>
      </c>
      <c r="C51" s="13">
        <v>3</v>
      </c>
      <c r="D51" s="6"/>
      <c r="E51" s="7">
        <v>46323</v>
      </c>
      <c r="F51" s="7">
        <v>46325</v>
      </c>
      <c r="G51" s="23"/>
      <c r="H51" s="23"/>
      <c r="I51" s="24"/>
      <c r="J51" s="4" t="s">
        <v>312</v>
      </c>
    </row>
    <row r="52" spans="1:10" ht="14.25" customHeight="1" x14ac:dyDescent="0.35">
      <c r="A52" s="13" t="s">
        <v>221</v>
      </c>
      <c r="B52" s="4" t="s">
        <v>222</v>
      </c>
      <c r="C52" s="13">
        <v>2</v>
      </c>
      <c r="D52" s="6"/>
      <c r="E52" s="7">
        <v>46325</v>
      </c>
      <c r="F52" s="7">
        <v>46325</v>
      </c>
      <c r="G52" s="23"/>
      <c r="H52" s="23"/>
      <c r="I52" s="24"/>
      <c r="J52" s="4" t="s">
        <v>313</v>
      </c>
    </row>
    <row r="53" spans="1:10" ht="14.25" customHeight="1" x14ac:dyDescent="0.35">
      <c r="A53" s="14"/>
      <c r="B53" s="15" t="s">
        <v>314</v>
      </c>
      <c r="C53" s="16">
        <f>SUM(C46:C52)</f>
        <v>22</v>
      </c>
      <c r="D53" s="14"/>
      <c r="E53" s="14"/>
      <c r="F53" s="14"/>
      <c r="G53" s="14"/>
      <c r="H53" s="14"/>
      <c r="I53" s="16">
        <f>SUM(I46:I52)</f>
        <v>0</v>
      </c>
      <c r="J53" s="14"/>
    </row>
    <row r="54" spans="1:10" ht="14.25" customHeight="1" x14ac:dyDescent="0.35"/>
    <row r="55" spans="1:10" ht="14.25" customHeight="1" x14ac:dyDescent="0.35">
      <c r="A55" s="20" t="s">
        <v>315</v>
      </c>
      <c r="B55" s="21"/>
      <c r="C55" s="21"/>
      <c r="D55" s="21"/>
      <c r="E55" s="21"/>
      <c r="F55" s="21"/>
      <c r="G55" s="21"/>
      <c r="H55" s="21"/>
      <c r="I55" s="21"/>
      <c r="J55" s="21"/>
    </row>
    <row r="56" spans="1:10" ht="14.25" customHeight="1" x14ac:dyDescent="0.35">
      <c r="A56" s="13" t="s">
        <v>225</v>
      </c>
      <c r="B56" s="4" t="s">
        <v>226</v>
      </c>
      <c r="C56" s="13">
        <v>5</v>
      </c>
      <c r="D56" s="6"/>
      <c r="E56" s="7">
        <v>46328</v>
      </c>
      <c r="F56" s="7">
        <v>46330</v>
      </c>
      <c r="G56" s="23"/>
      <c r="H56" s="23"/>
      <c r="I56" s="24"/>
      <c r="J56" s="4" t="s">
        <v>316</v>
      </c>
    </row>
    <row r="57" spans="1:10" ht="14.25" customHeight="1" x14ac:dyDescent="0.35">
      <c r="A57" s="13" t="s">
        <v>229</v>
      </c>
      <c r="B57" s="4" t="s">
        <v>230</v>
      </c>
      <c r="C57" s="13">
        <v>5</v>
      </c>
      <c r="D57" s="6"/>
      <c r="E57" s="7">
        <v>46331</v>
      </c>
      <c r="F57" s="7">
        <v>46335</v>
      </c>
      <c r="G57" s="23"/>
      <c r="H57" s="23"/>
      <c r="I57" s="24"/>
      <c r="J57" s="4" t="s">
        <v>317</v>
      </c>
    </row>
    <row r="58" spans="1:10" ht="14.25" customHeight="1" x14ac:dyDescent="0.35">
      <c r="A58" s="13" t="s">
        <v>232</v>
      </c>
      <c r="B58" s="4" t="s">
        <v>233</v>
      </c>
      <c r="C58" s="13">
        <v>5</v>
      </c>
      <c r="D58" s="6"/>
      <c r="E58" s="7">
        <v>46336</v>
      </c>
      <c r="F58" s="7">
        <v>46338</v>
      </c>
      <c r="G58" s="23"/>
      <c r="H58" s="23"/>
      <c r="I58" s="24"/>
      <c r="J58" s="4" t="s">
        <v>120</v>
      </c>
    </row>
    <row r="59" spans="1:10" ht="14.25" customHeight="1" x14ac:dyDescent="0.35">
      <c r="A59" s="13" t="s">
        <v>246</v>
      </c>
      <c r="B59" s="4" t="s">
        <v>247</v>
      </c>
      <c r="C59" s="13">
        <v>5</v>
      </c>
      <c r="D59" s="6"/>
      <c r="E59" s="7">
        <v>46339</v>
      </c>
      <c r="F59" s="7">
        <v>46343</v>
      </c>
      <c r="G59" s="23"/>
      <c r="H59" s="23"/>
      <c r="I59" s="24"/>
      <c r="J59" s="4" t="s">
        <v>318</v>
      </c>
    </row>
    <row r="60" spans="1:10" ht="14.25" customHeight="1" x14ac:dyDescent="0.35">
      <c r="A60" s="13" t="s">
        <v>251</v>
      </c>
      <c r="B60" s="4" t="s">
        <v>252</v>
      </c>
      <c r="C60" s="13">
        <v>5</v>
      </c>
      <c r="D60" s="6"/>
      <c r="E60" s="7">
        <v>46344</v>
      </c>
      <c r="F60" s="7">
        <v>46346</v>
      </c>
      <c r="G60" s="23"/>
      <c r="H60" s="23"/>
      <c r="I60" s="24"/>
      <c r="J60" s="4" t="s">
        <v>112</v>
      </c>
    </row>
    <row r="61" spans="1:10" ht="14.25" customHeight="1" x14ac:dyDescent="0.35">
      <c r="A61" s="14"/>
      <c r="B61" s="15" t="s">
        <v>319</v>
      </c>
      <c r="C61" s="16">
        <f>SUM(C56:C60)</f>
        <v>25</v>
      </c>
      <c r="D61" s="14"/>
      <c r="E61" s="14"/>
      <c r="F61" s="14"/>
      <c r="G61" s="14"/>
      <c r="H61" s="14"/>
      <c r="I61" s="16">
        <f>SUM(I56:I60)</f>
        <v>0</v>
      </c>
      <c r="J61" s="14"/>
    </row>
    <row r="62" spans="1:10" ht="14.25" customHeight="1" x14ac:dyDescent="0.35"/>
    <row r="63" spans="1:10" ht="14.25" customHeight="1" x14ac:dyDescent="0.35">
      <c r="B63" s="17" t="s">
        <v>320</v>
      </c>
      <c r="C63" s="25">
        <f>C7+C20+C32+C43+C53+C61</f>
        <v>158</v>
      </c>
      <c r="I63" s="25">
        <f>I7+I20+I32+I43+I53+I61</f>
        <v>3</v>
      </c>
    </row>
    <row r="64" spans="1:10" ht="14.25" customHeight="1" x14ac:dyDescent="0.35"/>
    <row r="65" spans="2:2" ht="14.25" customHeight="1" x14ac:dyDescent="0.35">
      <c r="B65" s="10"/>
    </row>
    <row r="66" spans="2:2" ht="14.25" customHeight="1" x14ac:dyDescent="0.35"/>
    <row r="67" spans="2:2" ht="14.25" customHeight="1" x14ac:dyDescent="0.35"/>
    <row r="68" spans="2:2" ht="14.25" customHeight="1" x14ac:dyDescent="0.35"/>
    <row r="69" spans="2:2" ht="14.25" customHeight="1" x14ac:dyDescent="0.35"/>
    <row r="70" spans="2:2" ht="14.25" customHeight="1" x14ac:dyDescent="0.35"/>
    <row r="71" spans="2:2" ht="14.25" customHeight="1" x14ac:dyDescent="0.35"/>
    <row r="72" spans="2:2" ht="14.25" customHeight="1" x14ac:dyDescent="0.35"/>
    <row r="73" spans="2:2" ht="14.25" customHeight="1" x14ac:dyDescent="0.35"/>
    <row r="74" spans="2:2" ht="14.25" customHeight="1" x14ac:dyDescent="0.35"/>
    <row r="75" spans="2:2" ht="14.25" customHeight="1" x14ac:dyDescent="0.35"/>
    <row r="76" spans="2:2" ht="14.25" customHeight="1" x14ac:dyDescent="0.35"/>
    <row r="77" spans="2:2" ht="14.25" customHeight="1" x14ac:dyDescent="0.35"/>
    <row r="78" spans="2:2" ht="14.25" customHeight="1" x14ac:dyDescent="0.35"/>
    <row r="79" spans="2:2" ht="14.25" customHeight="1" x14ac:dyDescent="0.35"/>
    <row r="80" spans="2:2"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
    <mergeCell ref="A1:J1"/>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Information</vt:lpstr>
      <vt:lpstr>Team</vt:lpstr>
      <vt:lpstr>Product backlog</vt:lpstr>
      <vt:lpstr>Sprint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2026-10-20T04:46:40Z</dcterms:modified>
</cp:coreProperties>
</file>